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mulados_Jugadores 2026" sheetId="1" r:id="rId5"/>
    <sheet state="visible" name="Poderes" sheetId="2" r:id="rId6"/>
    <sheet state="visible" name="limpio" sheetId="3" r:id="rId7"/>
    <sheet state="visible" name="Guerreros" sheetId="4" r:id="rId8"/>
    <sheet state="visible" name="Base_Partidos 2026" sheetId="5" r:id="rId9"/>
  </sheets>
  <definedNames>
    <definedName hidden="1" localSheetId="0" name="_xlnm._FilterDatabase">'Acumulados_Jugadores 2026'!$A$2:$AD$52</definedName>
    <definedName hidden="1" localSheetId="4" name="_xlnm._FilterDatabase">'Base_Partidos 2026'!$A$1:$Z$520</definedName>
  </definedNames>
  <calcPr/>
</workbook>
</file>

<file path=xl/sharedStrings.xml><?xml version="1.0" encoding="utf-8"?>
<sst xmlns="http://schemas.openxmlformats.org/spreadsheetml/2006/main" count="1834" uniqueCount="144">
  <si>
    <t>ESTADISTICAS ACUMULADAS POR JUGADOR 2026</t>
  </si>
  <si>
    <t>Jugador</t>
  </si>
  <si>
    <t>Partidos Jugados</t>
  </si>
  <si>
    <t>Goles</t>
  </si>
  <si>
    <t>Promedio de GOL</t>
  </si>
  <si>
    <t>Asistencias</t>
  </si>
  <si>
    <t>Total G + A</t>
  </si>
  <si>
    <t>Promedio G+A Por partido</t>
  </si>
  <si>
    <t>Victorias</t>
  </si>
  <si>
    <t>Empates</t>
  </si>
  <si>
    <t>Derrotas</t>
  </si>
  <si>
    <t>Rendimiento</t>
  </si>
  <si>
    <t>MVPs</t>
  </si>
  <si>
    <t>Promedio Malla Arquero</t>
  </si>
  <si>
    <t>Total Goles Acumulados</t>
  </si>
  <si>
    <t>Autogoles</t>
  </si>
  <si>
    <t>Luis Maldonado</t>
  </si>
  <si>
    <t>Arley</t>
  </si>
  <si>
    <t>Japs</t>
  </si>
  <si>
    <t>Boada</t>
  </si>
  <si>
    <t>Felipe Sasa</t>
  </si>
  <si>
    <t>Abreo</t>
  </si>
  <si>
    <t>Kevin Arce</t>
  </si>
  <si>
    <t>WIL</t>
  </si>
  <si>
    <t>Yamith</t>
  </si>
  <si>
    <t>Silvia</t>
  </si>
  <si>
    <t>Sergio Suarez</t>
  </si>
  <si>
    <t>Jose</t>
  </si>
  <si>
    <t>Aleja</t>
  </si>
  <si>
    <t>Javier Figueroa</t>
  </si>
  <si>
    <t>Sergio Meneses</t>
  </si>
  <si>
    <t>Jaen</t>
  </si>
  <si>
    <t>Freddy Manrique</t>
  </si>
  <si>
    <t>Julian Caceres</t>
  </si>
  <si>
    <t>Jesus</t>
  </si>
  <si>
    <t>Kevin Carrillo</t>
  </si>
  <si>
    <t>Robert</t>
  </si>
  <si>
    <t>Jesica Navarro</t>
  </si>
  <si>
    <t>Oscar</t>
  </si>
  <si>
    <t>Arevalo</t>
  </si>
  <si>
    <t>Otro</t>
  </si>
  <si>
    <t>Luis Angel</t>
  </si>
  <si>
    <t>Panela</t>
  </si>
  <si>
    <t>Joan</t>
  </si>
  <si>
    <t>Samuel F</t>
  </si>
  <si>
    <t>Sebastian Wil</t>
  </si>
  <si>
    <t>Diego Ortega</t>
  </si>
  <si>
    <t>William Omaña</t>
  </si>
  <si>
    <t>Luis TOTO</t>
  </si>
  <si>
    <t>Edwin</t>
  </si>
  <si>
    <t>Sergio Diaz</t>
  </si>
  <si>
    <t>Rola</t>
  </si>
  <si>
    <t>Eduard</t>
  </si>
  <si>
    <t>Henry</t>
  </si>
  <si>
    <t>Jex Costeño</t>
  </si>
  <si>
    <t>Nany</t>
  </si>
  <si>
    <t>Carime</t>
  </si>
  <si>
    <t>Collantes Arquero</t>
  </si>
  <si>
    <t>Grijalva Arquero</t>
  </si>
  <si>
    <t>Sayago</t>
  </si>
  <si>
    <t>Chucho</t>
  </si>
  <si>
    <t>Jesus Arquero Luis A</t>
  </si>
  <si>
    <t>Luis Angel Jugador</t>
  </si>
  <si>
    <t>Puchis</t>
  </si>
  <si>
    <t>Ricardo</t>
  </si>
  <si>
    <t xml:space="preserve"> </t>
  </si>
  <si>
    <t>EQUIPO A BLANCO</t>
  </si>
  <si>
    <t>TOTAL 1</t>
  </si>
  <si>
    <t>EQUIPO B NEGRO</t>
  </si>
  <si>
    <t>TOTAL 2</t>
  </si>
  <si>
    <t xml:space="preserve">EQUIPO BLANCO </t>
  </si>
  <si>
    <t>Diego Ortega Arquero</t>
  </si>
  <si>
    <t>Willian Omaña</t>
  </si>
  <si>
    <t>Luis Miranda TOTO</t>
  </si>
  <si>
    <t>Sergio Díaz</t>
  </si>
  <si>
    <t>2. Toto</t>
  </si>
  <si>
    <t>14. Sergio S.</t>
  </si>
  <si>
    <t>7. Navarro</t>
  </si>
  <si>
    <t>12. Costeño</t>
  </si>
  <si>
    <t>Sergio Suárez</t>
  </si>
  <si>
    <t>15. Robert</t>
  </si>
  <si>
    <t>1. Arley</t>
  </si>
  <si>
    <t>10. Japs</t>
  </si>
  <si>
    <t>Navarro</t>
  </si>
  <si>
    <t>16. Maldonado</t>
  </si>
  <si>
    <t>Camilo Arévalo</t>
  </si>
  <si>
    <t xml:space="preserve">EQUIPO AZUL </t>
  </si>
  <si>
    <t>4. Jose</t>
  </si>
  <si>
    <t>8. WiL</t>
  </si>
  <si>
    <t>5. Sergio Díaz</t>
  </si>
  <si>
    <t>11. Jaen</t>
  </si>
  <si>
    <t>JUGADORES</t>
  </si>
  <si>
    <t>3. Aleja</t>
  </si>
  <si>
    <t>6. Kevin Arce</t>
  </si>
  <si>
    <t>13. Edwin</t>
  </si>
  <si>
    <t>9. Boada</t>
  </si>
  <si>
    <t>equipo A</t>
  </si>
  <si>
    <t>total</t>
  </si>
  <si>
    <t>equipo b</t>
  </si>
  <si>
    <t>---</t>
  </si>
  <si>
    <t>PUNTAJE</t>
  </si>
  <si>
    <t>Jairo Boada</t>
  </si>
  <si>
    <t>Andres Gemelo</t>
  </si>
  <si>
    <t>Luis Ángel Arquero</t>
  </si>
  <si>
    <t>Miguel Ropero</t>
  </si>
  <si>
    <t>Julián Cáceres Zurdo</t>
  </si>
  <si>
    <t>José</t>
  </si>
  <si>
    <t>Luis Ángel Jugador</t>
  </si>
  <si>
    <t>Ricardo Amigo Edwin</t>
  </si>
  <si>
    <t>Henry Palacios Arquero</t>
  </si>
  <si>
    <t>Jesús</t>
  </si>
  <si>
    <t>Jaén</t>
  </si>
  <si>
    <t>Fredy Manrique</t>
  </si>
  <si>
    <t>Hermano Eduar</t>
  </si>
  <si>
    <t>Edwin (Lenteja)</t>
  </si>
  <si>
    <t>JEX Costeño</t>
  </si>
  <si>
    <t>La Rola</t>
  </si>
  <si>
    <t>Daniel Panela</t>
  </si>
  <si>
    <t>Fecha</t>
  </si>
  <si>
    <t>Partido #</t>
  </si>
  <si>
    <t>Equipo</t>
  </si>
  <si>
    <t>Resultado</t>
  </si>
  <si>
    <t>MVP</t>
  </si>
  <si>
    <t>Goles Arquero</t>
  </si>
  <si>
    <t>Malla Acumulado</t>
  </si>
  <si>
    <t>Negro</t>
  </si>
  <si>
    <t>G</t>
  </si>
  <si>
    <t>Luis Toto</t>
  </si>
  <si>
    <t>SI</t>
  </si>
  <si>
    <t>Otros</t>
  </si>
  <si>
    <t>Blanco</t>
  </si>
  <si>
    <t>P</t>
  </si>
  <si>
    <t>E</t>
  </si>
  <si>
    <t>William omaña</t>
  </si>
  <si>
    <t>Diego ortega</t>
  </si>
  <si>
    <t>Julian caceres</t>
  </si>
  <si>
    <t>Grijalva</t>
  </si>
  <si>
    <t>Sebastián</t>
  </si>
  <si>
    <t>OTRO</t>
  </si>
  <si>
    <t>Javier Loko</t>
  </si>
  <si>
    <t>Felipe sasa</t>
  </si>
  <si>
    <t>Freddy manrique</t>
  </si>
  <si>
    <t>Javier loko</t>
  </si>
  <si>
    <t>Wil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</si>
</sst>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\(#,##0\)"/>
    <numFmt numFmtId="165" formatCode="#,##0.0"/>
    <numFmt numFmtId="166" formatCode="d.m"/>
    <numFmt numFmtId="167" formatCode="D/M/YYYY"/>
    <numFmt numFmtId="168" formatCode="yyyy-mm-dd"/>
    <numFmt numFmtId="169" formatCode="d/m/yyyy"/>
    <numFmt numFmtId="170" formatCode="yyyy-mm-dd h:mm:ss"/>
    <numFmt numFmtId="171" formatCode="yyyy/mm/dd"/>
    <numFmt numFmtId="172" formatCode="dd/mm/yyyy"/>
  </numFmts>
  <fonts count="19">
    <font>
      <sz val="10.0"/>
      <color rgb="FF000000"/>
      <name val="Calibri"/>
      <scheme val="minor"/>
    </font>
    <font>
      <b/>
      <sz val="14.0"/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b/>
      <sz val="12.0"/>
      <color theme="1"/>
      <name val="Calibri"/>
      <scheme val="minor"/>
    </font>
    <font/>
    <font>
      <sz val="10.0"/>
      <color theme="1"/>
      <name val="Arial"/>
    </font>
    <font>
      <b/>
      <color rgb="FF000000"/>
      <name val="Calibri"/>
      <scheme val="minor"/>
    </font>
    <font>
      <sz val="15.0"/>
      <color theme="1"/>
      <name val="Calibri"/>
      <scheme val="minor"/>
    </font>
    <font>
      <b/>
      <sz val="12.0"/>
      <color theme="1"/>
      <name val="Arial"/>
    </font>
    <font>
      <b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9C0006"/>
      <name val="Calibri"/>
    </font>
    <font>
      <color rgb="FF000000"/>
      <name val="Calibri"/>
    </font>
    <font>
      <color rgb="FF9C0006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5B3F86"/>
        <bgColor rgb="FF5B3F86"/>
      </patternFill>
    </fill>
    <fill>
      <patternFill patternType="solid">
        <fgColor rgb="FFD6CFE0"/>
        <bgColor rgb="FFD6CFE0"/>
      </patternFill>
    </fill>
    <fill>
      <patternFill patternType="solid">
        <fgColor rgb="FFFFC7CE"/>
        <bgColor rgb="FFFFC7C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5B3F86"/>
      </bottom>
    </border>
    <border>
      <right style="thin">
        <color rgb="FF5B3F86"/>
      </right>
      <bottom style="thin">
        <color rgb="FF5B3F8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2" numFmtId="2" xfId="0" applyAlignment="1" applyBorder="1" applyFont="1" applyNumberFormat="1">
      <alignment horizontal="center" readingOrder="0"/>
    </xf>
    <xf borderId="1" fillId="2" fontId="2" numFmtId="10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2" xfId="0" applyAlignment="1" applyBorder="1" applyFont="1" applyNumberFormat="1">
      <alignment horizontal="center"/>
    </xf>
    <xf borderId="1" fillId="0" fontId="3" numFmtId="10" xfId="0" applyAlignment="1" applyBorder="1" applyFont="1" applyNumberFormat="1">
      <alignment horizontal="center"/>
    </xf>
    <xf borderId="1" fillId="0" fontId="4" numFmtId="2" xfId="0" applyBorder="1" applyFont="1" applyNumberFormat="1"/>
    <xf borderId="1" fillId="0" fontId="4" numFmtId="0" xfId="0" applyBorder="1" applyFont="1"/>
    <xf borderId="1" fillId="0" fontId="5" numFmtId="0" xfId="0" applyBorder="1" applyFont="1"/>
    <xf borderId="1" fillId="2" fontId="3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 shrinkToFit="0" vertical="bottom" wrapText="0"/>
    </xf>
    <xf borderId="0" fillId="0" fontId="5" numFmtId="2" xfId="0" applyFont="1" applyNumberFormat="1"/>
    <xf borderId="0" fillId="0" fontId="5" numFmtId="10" xfId="0" applyFont="1" applyNumberFormat="1"/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2" fillId="0" fontId="7" numFmtId="4" xfId="0" applyAlignment="1" applyBorder="1" applyFont="1" applyNumberFormat="1">
      <alignment horizontal="center"/>
    </xf>
    <xf borderId="3" fillId="0" fontId="8" numFmtId="0" xfId="0" applyBorder="1" applyFont="1"/>
    <xf borderId="0" fillId="0" fontId="4" numFmtId="0" xfId="0" applyAlignment="1" applyFont="1">
      <alignment horizontal="center" readingOrder="0"/>
    </xf>
    <xf borderId="1" fillId="3" fontId="9" numFmtId="164" xfId="0" applyAlignment="1" applyBorder="1" applyFill="1" applyFont="1" applyNumberFormat="1">
      <alignment horizontal="right" readingOrder="0"/>
    </xf>
    <xf borderId="1" fillId="3" fontId="5" numFmtId="4" xfId="0" applyAlignment="1" applyBorder="1" applyFont="1" applyNumberFormat="1">
      <alignment horizontal="left" readingOrder="0"/>
    </xf>
    <xf borderId="0" fillId="0" fontId="4" numFmtId="0" xfId="0" applyFont="1"/>
    <xf borderId="4" fillId="4" fontId="10" numFmtId="164" xfId="0" applyAlignment="1" applyBorder="1" applyFill="1" applyFont="1" applyNumberFormat="1">
      <alignment horizontal="center" readingOrder="0"/>
    </xf>
    <xf borderId="5" fillId="0" fontId="8" numFmtId="0" xfId="0" applyBorder="1" applyFont="1"/>
    <xf borderId="0" fillId="0" fontId="5" numFmtId="164" xfId="0" applyAlignment="1" applyFont="1" applyNumberFormat="1">
      <alignment readingOrder="0"/>
    </xf>
    <xf borderId="1" fillId="5" fontId="9" numFmtId="164" xfId="0" applyAlignment="1" applyBorder="1" applyFill="1" applyFont="1" applyNumberFormat="1">
      <alignment horizontal="right" readingOrder="0"/>
    </xf>
    <xf borderId="1" fillId="5" fontId="5" numFmtId="4" xfId="0" applyAlignment="1" applyBorder="1" applyFont="1" applyNumberFormat="1">
      <alignment horizontal="left" readingOrder="0"/>
    </xf>
    <xf borderId="0" fillId="6" fontId="4" numFmtId="0" xfId="0" applyAlignment="1" applyFill="1" applyFont="1">
      <alignment horizontal="center" readingOrder="0"/>
    </xf>
    <xf borderId="0" fillId="0" fontId="5" numFmtId="164" xfId="0" applyFont="1" applyNumberFormat="1"/>
    <xf borderId="1" fillId="7" fontId="9" numFmtId="164" xfId="0" applyAlignment="1" applyBorder="1" applyFill="1" applyFont="1" applyNumberFormat="1">
      <alignment horizontal="right" readingOrder="0"/>
    </xf>
    <xf borderId="1" fillId="7" fontId="5" numFmtId="4" xfId="0" applyAlignment="1" applyBorder="1" applyFont="1" applyNumberFormat="1">
      <alignment horizontal="left" readingOrder="0"/>
    </xf>
    <xf borderId="1" fillId="0" fontId="9" numFmtId="164" xfId="0" applyAlignment="1" applyBorder="1" applyFont="1" applyNumberFormat="1">
      <alignment horizontal="right" readingOrder="0"/>
    </xf>
    <xf borderId="1" fillId="0" fontId="5" numFmtId="165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0" fillId="0" fontId="11" numFmtId="0" xfId="0" applyFont="1"/>
    <xf borderId="2" fillId="0" fontId="12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1" fillId="8" fontId="13" numFmtId="0" xfId="0" applyAlignment="1" applyBorder="1" applyFill="1" applyFont="1">
      <alignment horizontal="center" readingOrder="0" shrinkToFit="0" wrapText="0"/>
    </xf>
    <xf borderId="1" fillId="8" fontId="13" numFmtId="4" xfId="0" applyAlignment="1" applyBorder="1" applyFont="1" applyNumberFormat="1">
      <alignment horizontal="center" readingOrder="0" shrinkToFit="0" wrapText="0"/>
    </xf>
    <xf borderId="6" fillId="9" fontId="13" numFmtId="4" xfId="0" applyAlignment="1" applyBorder="1" applyFill="1" applyFont="1" applyNumberFormat="1">
      <alignment horizontal="center" readingOrder="0" shrinkToFit="0" wrapText="0"/>
    </xf>
    <xf borderId="0" fillId="0" fontId="5" numFmtId="166" xfId="0" applyAlignment="1" applyFont="1" applyNumberFormat="1">
      <alignment readingOrder="0"/>
    </xf>
    <xf borderId="7" fillId="9" fontId="13" numFmtId="4" xfId="0" applyAlignment="1" applyBorder="1" applyFont="1" applyNumberFormat="1">
      <alignment horizontal="center" readingOrder="0" shrinkToFit="0" wrapText="0"/>
    </xf>
    <xf borderId="8" fillId="0" fontId="13" numFmtId="166" xfId="0" applyAlignment="1" applyBorder="1" applyFont="1" applyNumberFormat="1">
      <alignment horizontal="center" readingOrder="0" vertical="bottom"/>
    </xf>
    <xf borderId="8" fillId="0" fontId="13" numFmtId="4" xfId="0" applyAlignment="1" applyBorder="1" applyFont="1" applyNumberFormat="1">
      <alignment horizontal="center" readingOrder="0" vertical="bottom"/>
    </xf>
    <xf borderId="1" fillId="0" fontId="13" numFmtId="4" xfId="0" applyAlignment="1" applyBorder="1" applyFont="1" applyNumberFormat="1">
      <alignment horizontal="center" readingOrder="0" shrinkToFit="0" vertical="bottom" wrapText="0"/>
    </xf>
    <xf borderId="0" fillId="0" fontId="5" numFmtId="4" xfId="0" applyFont="1" applyNumberFormat="1"/>
    <xf borderId="1" fillId="0" fontId="14" numFmtId="0" xfId="0" applyAlignment="1" applyBorder="1" applyFont="1">
      <alignment horizontal="center"/>
    </xf>
    <xf borderId="0" fillId="0" fontId="15" numFmtId="167" xfId="0" applyAlignment="1" applyFont="1" applyNumberFormat="1">
      <alignment horizontal="lef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1" fillId="6" fontId="16" numFmtId="0" xfId="0" applyAlignment="1" applyBorder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Font="1"/>
    <xf borderId="0" fillId="0" fontId="15" numFmtId="168" xfId="0" applyAlignment="1" applyFont="1" applyNumberFormat="1">
      <alignment horizontal="left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6" fontId="16" numFmtId="0" xfId="0" applyAlignment="1" applyFont="1">
      <alignment horizontal="left" readingOrder="0" shrinkToFit="0" vertical="bottom" wrapText="0"/>
    </xf>
    <xf borderId="0" fillId="0" fontId="15" numFmtId="169" xfId="0" applyAlignment="1" applyFont="1" applyNumberForma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0" fillId="0" fontId="15" numFmtId="170" xfId="0" applyAlignment="1" applyFont="1" applyNumberFormat="1">
      <alignment horizontal="right" readingOrder="0" shrinkToFit="0" vertical="bottom" wrapText="0"/>
    </xf>
    <xf borderId="0" fillId="0" fontId="15" numFmtId="171" xfId="0" applyAlignment="1" applyFont="1" applyNumberFormat="1">
      <alignment horizontal="left" readingOrder="0" shrinkToFit="0" vertical="bottom" wrapText="0"/>
    </xf>
    <xf borderId="0" fillId="0" fontId="17" numFmtId="170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10" fontId="18" numFmtId="0" xfId="0" applyAlignment="1" applyFill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169" xfId="0" applyAlignment="1" applyFont="1" applyNumberFormat="1">
      <alignment horizontal="lef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1" fillId="6" fontId="16" numFmtId="0" xfId="0" applyAlignment="1" applyBorder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72" xfId="0" applyAlignment="1" applyFont="1" applyNumberFormat="1">
      <alignment horizontal="right" readingOrder="0" shrinkToFit="0" vertical="bottom" wrapText="0"/>
    </xf>
    <xf borderId="0" fillId="10" fontId="16" numFmtId="0" xfId="0" applyAlignment="1" applyFont="1">
      <alignment horizontal="left" readingOrder="0" shrinkToFit="0" vertical="bottom" wrapText="0"/>
    </xf>
    <xf borderId="0" fillId="0" fontId="15" numFmtId="168" xfId="0" applyAlignment="1" applyFont="1" applyNumberFormat="1">
      <alignment horizontal="left" readingOrder="0" shrinkToFit="0" vertical="bottom" wrapText="0"/>
    </xf>
    <xf borderId="0" fillId="10" fontId="18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172" xfId="0" applyAlignment="1" applyFont="1" applyNumberFormat="1">
      <alignment horizontal="right" readingOrder="0" shrinkToFit="0" vertical="bottom" wrapText="0"/>
    </xf>
    <xf borderId="0" fillId="10" fontId="18" numFmtId="0" xfId="0" applyAlignment="1" applyFont="1">
      <alignment readingOrder="0" shrinkToFit="0" vertical="bottom" wrapText="0"/>
    </xf>
    <xf borderId="0" fillId="0" fontId="17" numFmtId="168" xfId="0" applyAlignment="1" applyFont="1" applyNumberFormat="1">
      <alignment horizontal="right" readingOrder="0" shrinkToFit="0" vertical="bottom" wrapText="0"/>
    </xf>
    <xf borderId="0" fillId="0" fontId="17" numFmtId="168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57"/>
    <col customWidth="1" min="2" max="2" width="20.86"/>
    <col customWidth="1" min="3" max="3" width="9.71"/>
    <col customWidth="1" min="4" max="4" width="22.0"/>
    <col customWidth="1" min="5" max="5" width="15.29"/>
    <col customWidth="1" min="6" max="6" width="15.0"/>
    <col customWidth="1" min="7" max="7" width="31.0"/>
    <col customWidth="1" min="8" max="8" width="13.0"/>
    <col customWidth="1" min="9" max="10" width="12.86"/>
    <col customWidth="1" min="11" max="11" width="17.14"/>
    <col customWidth="1" min="12" max="12" width="9.86"/>
    <col customWidth="1" min="13" max="13" width="32.43"/>
    <col customWidth="1" min="14" max="14" width="27.57"/>
    <col customWidth="1" min="15" max="15" width="18.0"/>
    <col customWidth="1" min="16" max="30" width="8.86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3" t="s">
        <v>6</v>
      </c>
      <c r="G2" s="4" t="s">
        <v>7</v>
      </c>
      <c r="H2" s="2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4" t="s">
        <v>13</v>
      </c>
      <c r="N2" s="3" t="s">
        <v>14</v>
      </c>
      <c r="O2" s="3" t="s">
        <v>15</v>
      </c>
    </row>
    <row r="3" ht="14.25" customHeight="1">
      <c r="A3" s="6" t="s">
        <v>16</v>
      </c>
      <c r="B3" s="7">
        <f>COUNTIF('Base_Partidos 2026'!C:C,A3)</f>
        <v>15</v>
      </c>
      <c r="C3" s="7">
        <f>SUMIF('Base_Partidos 2026'!C:C,A3,'Base_Partidos 2026'!E:E)</f>
        <v>23</v>
      </c>
      <c r="D3" s="8">
        <f t="shared" ref="D3:D52" si="1">C3/B3</f>
        <v>1.533333333</v>
      </c>
      <c r="E3" s="7">
        <f>SUMIF('Base_Partidos 2026'!C:C,A3,'Base_Partidos 2026'!F:F)</f>
        <v>9</v>
      </c>
      <c r="F3" s="7">
        <f t="shared" ref="F3:F47" si="2">C3+E3</f>
        <v>32</v>
      </c>
      <c r="G3" s="8">
        <f t="shared" ref="G3:G47" si="3">F3/B3</f>
        <v>2.133333333</v>
      </c>
      <c r="H3" s="7">
        <f>COUNTIFS('Base_Partidos 2026'!C:C,A3,'Base_Partidos 2026'!G:G,"G")</f>
        <v>7</v>
      </c>
      <c r="I3" s="7">
        <f>COUNTIFS('Base_Partidos 2026'!C:C,A3,'Base_Partidos 2026'!G:G,"E")</f>
        <v>2</v>
      </c>
      <c r="J3" s="7">
        <f>COUNTIFS('Base_Partidos 2026'!C:C,A3,'Base_Partidos 2026'!G:G,"P")</f>
        <v>6</v>
      </c>
      <c r="K3" s="9">
        <f t="shared" ref="K3:K52" si="4">((H3*3+I3*1)/(H3+I3+J3)/3)</f>
        <v>0.5111111111</v>
      </c>
      <c r="L3" s="7">
        <f>COUNTIFS('Base_Partidos 2026'!C:C,A3,'Base_Partidos 2026'!H:H,"SI")</f>
        <v>8</v>
      </c>
      <c r="M3" s="10"/>
      <c r="N3" s="11"/>
      <c r="O3" s="12"/>
    </row>
    <row r="4" ht="14.25" customHeight="1">
      <c r="A4" s="6" t="s">
        <v>17</v>
      </c>
      <c r="B4" s="7">
        <f>COUNTIF('Base_Partidos 2026'!C:C,A4)</f>
        <v>27</v>
      </c>
      <c r="C4" s="7">
        <f>SUMIF('Base_Partidos 2026'!C:C,A4,'Base_Partidos 2026'!E:E)</f>
        <v>19</v>
      </c>
      <c r="D4" s="8">
        <f t="shared" si="1"/>
        <v>0.7037037037</v>
      </c>
      <c r="E4" s="7">
        <f>SUMIF('Base_Partidos 2026'!C:C,A4,'Base_Partidos 2026'!F:F)</f>
        <v>8</v>
      </c>
      <c r="F4" s="7">
        <f t="shared" si="2"/>
        <v>27</v>
      </c>
      <c r="G4" s="8">
        <f t="shared" si="3"/>
        <v>1</v>
      </c>
      <c r="H4" s="7">
        <f>COUNTIFS('Base_Partidos 2026'!C:C,A4,'Base_Partidos 2026'!G:G,"G")</f>
        <v>16</v>
      </c>
      <c r="I4" s="7">
        <f>COUNTIFS('Base_Partidos 2026'!C:C,A4,'Base_Partidos 2026'!G:G,"E")</f>
        <v>4</v>
      </c>
      <c r="J4" s="7">
        <f>COUNTIFS('Base_Partidos 2026'!C:C,A4,'Base_Partidos 2026'!G:G,"P")</f>
        <v>7</v>
      </c>
      <c r="K4" s="9">
        <f t="shared" si="4"/>
        <v>0.6419753086</v>
      </c>
      <c r="L4" s="7">
        <f>COUNTIFS('Base_Partidos 2026'!C:C,A4,'Base_Partidos 2026'!H:H,"SI")</f>
        <v>2</v>
      </c>
      <c r="M4" s="10"/>
      <c r="N4" s="11"/>
      <c r="O4" s="12"/>
    </row>
    <row r="5" ht="14.25" customHeight="1">
      <c r="A5" s="6" t="s">
        <v>18</v>
      </c>
      <c r="B5" s="7">
        <f>COUNTIF('Base_Partidos 2026'!C:C,A5)</f>
        <v>22</v>
      </c>
      <c r="C5" s="7">
        <f>SUMIF('Base_Partidos 2026'!C:C,A5,'Base_Partidos 2026'!E:E)</f>
        <v>19</v>
      </c>
      <c r="D5" s="8">
        <f t="shared" si="1"/>
        <v>0.8636363636</v>
      </c>
      <c r="E5" s="7">
        <f>SUMIF('Base_Partidos 2026'!C:C,A5,'Base_Partidos 2026'!F:F)</f>
        <v>22</v>
      </c>
      <c r="F5" s="7">
        <f t="shared" si="2"/>
        <v>41</v>
      </c>
      <c r="G5" s="8">
        <f t="shared" si="3"/>
        <v>1.863636364</v>
      </c>
      <c r="H5" s="7">
        <f>COUNTIFS('Base_Partidos 2026'!C:C,A5,'Base_Partidos 2026'!G:G,"G")</f>
        <v>13</v>
      </c>
      <c r="I5" s="7">
        <f>COUNTIFS('Base_Partidos 2026'!C:C,A5,'Base_Partidos 2026'!G:G,"E")</f>
        <v>2</v>
      </c>
      <c r="J5" s="7">
        <f>COUNTIFS('Base_Partidos 2026'!C:C,A5,'Base_Partidos 2026'!G:G,"P")</f>
        <v>7</v>
      </c>
      <c r="K5" s="9">
        <f t="shared" si="4"/>
        <v>0.6212121212</v>
      </c>
      <c r="L5" s="7">
        <f>COUNTIFS('Base_Partidos 2026'!C:C,A5,'Base_Partidos 2026'!H:H,"SI")</f>
        <v>1</v>
      </c>
      <c r="M5" s="10"/>
      <c r="N5" s="11"/>
      <c r="O5" s="12"/>
    </row>
    <row r="6" ht="14.25" customHeight="1">
      <c r="A6" s="6" t="s">
        <v>19</v>
      </c>
      <c r="B6" s="7">
        <f>COUNTIF('Base_Partidos 2026'!C:C,A6)</f>
        <v>11</v>
      </c>
      <c r="C6" s="7">
        <f>SUMIF('Base_Partidos 2026'!C:C,A6,'Base_Partidos 2026'!E:E)</f>
        <v>15</v>
      </c>
      <c r="D6" s="8">
        <f t="shared" si="1"/>
        <v>1.363636364</v>
      </c>
      <c r="E6" s="7">
        <f>SUMIF('Base_Partidos 2026'!C:C,A6,'Base_Partidos 2026'!F:F)</f>
        <v>6</v>
      </c>
      <c r="F6" s="7">
        <f t="shared" si="2"/>
        <v>21</v>
      </c>
      <c r="G6" s="8">
        <f t="shared" si="3"/>
        <v>1.909090909</v>
      </c>
      <c r="H6" s="7">
        <f>COUNTIFS('Base_Partidos 2026'!C:C,A6,'Base_Partidos 2026'!G:G,"G")</f>
        <v>3</v>
      </c>
      <c r="I6" s="7">
        <f>COUNTIFS('Base_Partidos 2026'!C:C,A6,'Base_Partidos 2026'!G:G,"E")</f>
        <v>2</v>
      </c>
      <c r="J6" s="7">
        <f>COUNTIFS('Base_Partidos 2026'!C:C,A6,'Base_Partidos 2026'!G:G,"P")</f>
        <v>6</v>
      </c>
      <c r="K6" s="9">
        <f t="shared" si="4"/>
        <v>0.3333333333</v>
      </c>
      <c r="L6" s="7">
        <f>COUNTIFS('Base_Partidos 2026'!C:C,A6,'Base_Partidos 2026'!H:H,"SI")</f>
        <v>2</v>
      </c>
      <c r="M6" s="10"/>
      <c r="N6" s="11"/>
      <c r="O6" s="12"/>
    </row>
    <row r="7" ht="14.25" customHeight="1">
      <c r="A7" s="6" t="s">
        <v>20</v>
      </c>
      <c r="B7" s="7">
        <f>COUNTIF('Base_Partidos 2026'!C:C,A7)</f>
        <v>14</v>
      </c>
      <c r="C7" s="7">
        <f>SUMIF('Base_Partidos 2026'!C:C,A7,'Base_Partidos 2026'!E:E)</f>
        <v>14</v>
      </c>
      <c r="D7" s="8">
        <f t="shared" si="1"/>
        <v>1</v>
      </c>
      <c r="E7" s="7">
        <f>SUMIF('Base_Partidos 2026'!C:C,A7,'Base_Partidos 2026'!F:F)</f>
        <v>7</v>
      </c>
      <c r="F7" s="7">
        <f t="shared" si="2"/>
        <v>21</v>
      </c>
      <c r="G7" s="8">
        <f t="shared" si="3"/>
        <v>1.5</v>
      </c>
      <c r="H7" s="7">
        <f>COUNTIFS('Base_Partidos 2026'!C:C,A7,'Base_Partidos 2026'!G:G,"G")</f>
        <v>6</v>
      </c>
      <c r="I7" s="7">
        <f>COUNTIFS('Base_Partidos 2026'!C:C,A7,'Base_Partidos 2026'!G:G,"E")</f>
        <v>2</v>
      </c>
      <c r="J7" s="7">
        <f>COUNTIFS('Base_Partidos 2026'!C:C,A7,'Base_Partidos 2026'!G:G,"P")</f>
        <v>6</v>
      </c>
      <c r="K7" s="9">
        <f t="shared" si="4"/>
        <v>0.4761904762</v>
      </c>
      <c r="L7" s="7">
        <f>COUNTIFS('Base_Partidos 2026'!C:C,A7,'Base_Partidos 2026'!H:H,"SI")</f>
        <v>1</v>
      </c>
      <c r="M7" s="10"/>
      <c r="N7" s="11"/>
      <c r="O7" s="12"/>
    </row>
    <row r="8" ht="14.25" customHeight="1">
      <c r="A8" s="6" t="s">
        <v>21</v>
      </c>
      <c r="B8" s="7">
        <f>COUNTIF('Base_Partidos 2026'!C:C,A8)</f>
        <v>12</v>
      </c>
      <c r="C8" s="7">
        <f>SUMIF('Base_Partidos 2026'!C:C,A8,'Base_Partidos 2026'!E:E)</f>
        <v>12</v>
      </c>
      <c r="D8" s="8">
        <f t="shared" si="1"/>
        <v>1</v>
      </c>
      <c r="E8" s="7">
        <f>SUMIF('Base_Partidos 2026'!C:C,A8,'Base_Partidos 2026'!F:F)</f>
        <v>6</v>
      </c>
      <c r="F8" s="7">
        <f t="shared" si="2"/>
        <v>18</v>
      </c>
      <c r="G8" s="8">
        <f t="shared" si="3"/>
        <v>1.5</v>
      </c>
      <c r="H8" s="7">
        <f>COUNTIFS('Base_Partidos 2026'!C:C,A8,'Base_Partidos 2026'!G:G,"G")</f>
        <v>6</v>
      </c>
      <c r="I8" s="7">
        <f>COUNTIFS('Base_Partidos 2026'!C:C,A8,'Base_Partidos 2026'!G:G,"E")</f>
        <v>2</v>
      </c>
      <c r="J8" s="7">
        <f>COUNTIFS('Base_Partidos 2026'!C:C,A8,'Base_Partidos 2026'!G:G,"P")</f>
        <v>4</v>
      </c>
      <c r="K8" s="9">
        <f t="shared" si="4"/>
        <v>0.5555555556</v>
      </c>
      <c r="L8" s="7">
        <f>COUNTIFS('Base_Partidos 2026'!C:C,A8,'Base_Partidos 2026'!H:H,"SI")</f>
        <v>3</v>
      </c>
      <c r="M8" s="10"/>
      <c r="N8" s="11"/>
      <c r="O8" s="12"/>
    </row>
    <row r="9" ht="14.25" customHeight="1">
      <c r="A9" s="6" t="s">
        <v>22</v>
      </c>
      <c r="B9" s="7">
        <f>COUNTIF('Base_Partidos 2026'!C:C,A9)</f>
        <v>17</v>
      </c>
      <c r="C9" s="7">
        <f>SUMIF('Base_Partidos 2026'!C:C,A9,'Base_Partidos 2026'!E:E)</f>
        <v>8</v>
      </c>
      <c r="D9" s="8">
        <f t="shared" si="1"/>
        <v>0.4705882353</v>
      </c>
      <c r="E9" s="7">
        <f>SUMIF('Base_Partidos 2026'!C:C,A9,'Base_Partidos 2026'!F:F)</f>
        <v>6</v>
      </c>
      <c r="F9" s="7">
        <f t="shared" si="2"/>
        <v>14</v>
      </c>
      <c r="G9" s="8">
        <f t="shared" si="3"/>
        <v>0.8235294118</v>
      </c>
      <c r="H9" s="7">
        <f>COUNTIFS('Base_Partidos 2026'!C:C,A9,'Base_Partidos 2026'!G:G,"G")</f>
        <v>6</v>
      </c>
      <c r="I9" s="7">
        <f>COUNTIFS('Base_Partidos 2026'!C:C,A9,'Base_Partidos 2026'!G:G,"E")</f>
        <v>3</v>
      </c>
      <c r="J9" s="7">
        <f>COUNTIFS('Base_Partidos 2026'!C:C,A9,'Base_Partidos 2026'!G:G,"P")</f>
        <v>8</v>
      </c>
      <c r="K9" s="9">
        <f t="shared" si="4"/>
        <v>0.4117647059</v>
      </c>
      <c r="L9" s="7">
        <f>COUNTIFS('Base_Partidos 2026'!C:C,A9,'Base_Partidos 2026'!H:H,"SI")</f>
        <v>2</v>
      </c>
      <c r="M9" s="10"/>
      <c r="N9" s="11"/>
      <c r="O9" s="12"/>
    </row>
    <row r="10" ht="14.25" customHeight="1">
      <c r="A10" s="13" t="s">
        <v>23</v>
      </c>
      <c r="B10" s="7">
        <f>COUNTIF('Base_Partidos 2026'!C:C,A10)</f>
        <v>22</v>
      </c>
      <c r="C10" s="7">
        <f>SUMIF('Base_Partidos 2026'!C:C,A10,'Base_Partidos 2026'!E:E)</f>
        <v>6</v>
      </c>
      <c r="D10" s="8">
        <f t="shared" si="1"/>
        <v>0.2727272727</v>
      </c>
      <c r="E10" s="7">
        <f>SUMIF('Base_Partidos 2026'!C:C,A10,'Base_Partidos 2026'!F:F)</f>
        <v>9</v>
      </c>
      <c r="F10" s="7">
        <f t="shared" si="2"/>
        <v>15</v>
      </c>
      <c r="G10" s="8">
        <f t="shared" si="3"/>
        <v>0.6818181818</v>
      </c>
      <c r="H10" s="7">
        <f>COUNTIFS('Base_Partidos 2026'!C:C,A10,'Base_Partidos 2026'!G:G,"G")</f>
        <v>5</v>
      </c>
      <c r="I10" s="7">
        <f>COUNTIFS('Base_Partidos 2026'!C:C,A10,'Base_Partidos 2026'!G:G,"E")</f>
        <v>4</v>
      </c>
      <c r="J10" s="7">
        <f>COUNTIFS('Base_Partidos 2026'!C:C,A10,'Base_Partidos 2026'!G:G,"P")</f>
        <v>13</v>
      </c>
      <c r="K10" s="9">
        <f t="shared" si="4"/>
        <v>0.2878787879</v>
      </c>
      <c r="L10" s="7">
        <f>COUNTIFS('Base_Partidos 2026'!C:C,A10,'Base_Partidos 2026'!H:H,"SI")</f>
        <v>1</v>
      </c>
      <c r="M10" s="10"/>
      <c r="N10" s="11"/>
      <c r="O10" s="12"/>
    </row>
    <row r="11" ht="14.25" customHeight="1">
      <c r="A11" s="6" t="s">
        <v>24</v>
      </c>
      <c r="B11" s="7">
        <f>COUNTIF('Base_Partidos 2026'!C:C,A11)</f>
        <v>19</v>
      </c>
      <c r="C11" s="7">
        <f>SUMIF('Base_Partidos 2026'!C:C,A11,'Base_Partidos 2026'!E:E)</f>
        <v>6</v>
      </c>
      <c r="D11" s="8">
        <f t="shared" si="1"/>
        <v>0.3157894737</v>
      </c>
      <c r="E11" s="7">
        <f>SUMIF('Base_Partidos 2026'!C:C,A11,'Base_Partidos 2026'!F:F)</f>
        <v>4</v>
      </c>
      <c r="F11" s="7">
        <f t="shared" si="2"/>
        <v>10</v>
      </c>
      <c r="G11" s="8">
        <f t="shared" si="3"/>
        <v>0.5263157895</v>
      </c>
      <c r="H11" s="7">
        <f>COUNTIFS('Base_Partidos 2026'!C:C,A11,'Base_Partidos 2026'!G:G,"G")</f>
        <v>9</v>
      </c>
      <c r="I11" s="7">
        <f>COUNTIFS('Base_Partidos 2026'!C:C,A11,'Base_Partidos 2026'!G:G,"E")</f>
        <v>2</v>
      </c>
      <c r="J11" s="7">
        <f>COUNTIFS('Base_Partidos 2026'!C:C,A11,'Base_Partidos 2026'!G:G,"P")</f>
        <v>8</v>
      </c>
      <c r="K11" s="9">
        <f t="shared" si="4"/>
        <v>0.5087719298</v>
      </c>
      <c r="L11" s="7">
        <f>COUNTIFS('Base_Partidos 2026'!C:C,A11,'Base_Partidos 2026'!H:H,"SI")</f>
        <v>2</v>
      </c>
      <c r="M11" s="10"/>
      <c r="N11" s="11"/>
      <c r="O11" s="12"/>
    </row>
    <row r="12" ht="14.25" customHeight="1">
      <c r="A12" s="6" t="s">
        <v>25</v>
      </c>
      <c r="B12" s="7">
        <f>COUNTIF('Base_Partidos 2026'!C:C,A12)</f>
        <v>23</v>
      </c>
      <c r="C12" s="7">
        <f>SUMIF('Base_Partidos 2026'!C:C,A12,'Base_Partidos 2026'!E:E)</f>
        <v>5</v>
      </c>
      <c r="D12" s="8">
        <f t="shared" si="1"/>
        <v>0.2173913043</v>
      </c>
      <c r="E12" s="7">
        <f>SUMIF('Base_Partidos 2026'!C:C,A12,'Base_Partidos 2026'!F:F)</f>
        <v>12</v>
      </c>
      <c r="F12" s="7">
        <f t="shared" si="2"/>
        <v>17</v>
      </c>
      <c r="G12" s="8">
        <f t="shared" si="3"/>
        <v>0.7391304348</v>
      </c>
      <c r="H12" s="7">
        <f>COUNTIFS('Base_Partidos 2026'!C:C,A12,'Base_Partidos 2026'!G:G,"G")</f>
        <v>8</v>
      </c>
      <c r="I12" s="7">
        <f>COUNTIFS('Base_Partidos 2026'!C:C,A12,'Base_Partidos 2026'!G:G,"E")</f>
        <v>4</v>
      </c>
      <c r="J12" s="7">
        <f>COUNTIFS('Base_Partidos 2026'!C:C,A12,'Base_Partidos 2026'!G:G,"P")</f>
        <v>11</v>
      </c>
      <c r="K12" s="9">
        <f t="shared" si="4"/>
        <v>0.4057971014</v>
      </c>
      <c r="L12" s="7">
        <f>COUNTIFS('Base_Partidos 2026'!C:C,A12,'Base_Partidos 2026'!H:H,"SI")</f>
        <v>5</v>
      </c>
      <c r="M12" s="10"/>
      <c r="N12" s="11"/>
      <c r="O12" s="12"/>
    </row>
    <row r="13" ht="14.25" customHeight="1">
      <c r="A13" s="6" t="s">
        <v>26</v>
      </c>
      <c r="B13" s="7">
        <f>COUNTIF('Base_Partidos 2026'!C:C,A13)</f>
        <v>25</v>
      </c>
      <c r="C13" s="7">
        <f>SUMIF('Base_Partidos 2026'!C:C,A13,'Base_Partidos 2026'!E:E)</f>
        <v>5</v>
      </c>
      <c r="D13" s="8">
        <f t="shared" si="1"/>
        <v>0.2</v>
      </c>
      <c r="E13" s="7">
        <f>SUMIF('Base_Partidos 2026'!C:C,A13,'Base_Partidos 2026'!F:F)</f>
        <v>5</v>
      </c>
      <c r="F13" s="7">
        <f t="shared" si="2"/>
        <v>10</v>
      </c>
      <c r="G13" s="8">
        <f t="shared" si="3"/>
        <v>0.4</v>
      </c>
      <c r="H13" s="7">
        <f>COUNTIFS('Base_Partidos 2026'!C:C,A13,'Base_Partidos 2026'!G:G,"G")</f>
        <v>12</v>
      </c>
      <c r="I13" s="7">
        <f>COUNTIFS('Base_Partidos 2026'!C:C,A13,'Base_Partidos 2026'!G:G,"E")</f>
        <v>4</v>
      </c>
      <c r="J13" s="7">
        <f>COUNTIFS('Base_Partidos 2026'!C:C,A13,'Base_Partidos 2026'!G:G,"P")</f>
        <v>9</v>
      </c>
      <c r="K13" s="9">
        <f t="shared" si="4"/>
        <v>0.5333333333</v>
      </c>
      <c r="L13" s="7">
        <f>COUNTIFS('Base_Partidos 2026'!C:C,A13,'Base_Partidos 2026'!H:H,"SI")</f>
        <v>2</v>
      </c>
      <c r="M13" s="10"/>
      <c r="N13" s="11"/>
      <c r="O13" s="12"/>
    </row>
    <row r="14" ht="14.25" customHeight="1">
      <c r="A14" s="6" t="s">
        <v>27</v>
      </c>
      <c r="B14" s="7">
        <f>COUNTIF('Base_Partidos 2026'!C:C,A14)</f>
        <v>15</v>
      </c>
      <c r="C14" s="7">
        <f>SUMIF('Base_Partidos 2026'!C:C,A14,'Base_Partidos 2026'!E:E)</f>
        <v>5</v>
      </c>
      <c r="D14" s="8">
        <f t="shared" si="1"/>
        <v>0.3333333333</v>
      </c>
      <c r="E14" s="7">
        <f>SUMIF('Base_Partidos 2026'!C:C,A14,'Base_Partidos 2026'!F:F)</f>
        <v>2</v>
      </c>
      <c r="F14" s="7">
        <f t="shared" si="2"/>
        <v>7</v>
      </c>
      <c r="G14" s="8">
        <f t="shared" si="3"/>
        <v>0.4666666667</v>
      </c>
      <c r="H14" s="7">
        <f>COUNTIFS('Base_Partidos 2026'!C:C,A14,'Base_Partidos 2026'!G:G,"G")</f>
        <v>9</v>
      </c>
      <c r="I14" s="7">
        <f>COUNTIFS('Base_Partidos 2026'!C:C,A14,'Base_Partidos 2026'!G:G,"E")</f>
        <v>2</v>
      </c>
      <c r="J14" s="7">
        <f>COUNTIFS('Base_Partidos 2026'!C:C,A14,'Base_Partidos 2026'!G:G,"P")</f>
        <v>4</v>
      </c>
      <c r="K14" s="9">
        <f t="shared" si="4"/>
        <v>0.6444444444</v>
      </c>
      <c r="L14" s="7">
        <f>COUNTIFS('Base_Partidos 2026'!C:C,A14,'Base_Partidos 2026'!H:H,"SI")</f>
        <v>0</v>
      </c>
      <c r="M14" s="10"/>
      <c r="N14" s="11"/>
      <c r="O14" s="12"/>
    </row>
    <row r="15" ht="14.25" customHeight="1">
      <c r="A15" s="6" t="s">
        <v>28</v>
      </c>
      <c r="B15" s="7">
        <f>COUNTIF('Base_Partidos 2026'!C:C,A15)</f>
        <v>22</v>
      </c>
      <c r="C15" s="7">
        <f>SUMIF('Base_Partidos 2026'!C:C,A15,'Base_Partidos 2026'!E:E)</f>
        <v>4</v>
      </c>
      <c r="D15" s="8">
        <f t="shared" si="1"/>
        <v>0.1818181818</v>
      </c>
      <c r="E15" s="7">
        <f>SUMIF('Base_Partidos 2026'!C:C,A15,'Base_Partidos 2026'!F:F)</f>
        <v>0</v>
      </c>
      <c r="F15" s="7">
        <f t="shared" si="2"/>
        <v>4</v>
      </c>
      <c r="G15" s="8">
        <f t="shared" si="3"/>
        <v>0.1818181818</v>
      </c>
      <c r="H15" s="7">
        <f>COUNTIFS('Base_Partidos 2026'!C:C,A15,'Base_Partidos 2026'!G:G,"G")</f>
        <v>10</v>
      </c>
      <c r="I15" s="7">
        <f>COUNTIFS('Base_Partidos 2026'!C:C,A15,'Base_Partidos 2026'!G:G,"E")</f>
        <v>3</v>
      </c>
      <c r="J15" s="7">
        <f>COUNTIFS('Base_Partidos 2026'!C:C,A15,'Base_Partidos 2026'!G:G,"P")</f>
        <v>9</v>
      </c>
      <c r="K15" s="9">
        <f t="shared" si="4"/>
        <v>0.5</v>
      </c>
      <c r="L15" s="7">
        <f>COUNTIFS('Base_Partidos 2026'!C:C,A15,'Base_Partidos 2026'!H:H,"SI")</f>
        <v>1</v>
      </c>
      <c r="M15" s="10"/>
      <c r="N15" s="11"/>
      <c r="O15" s="12"/>
    </row>
    <row r="16" ht="14.25" customHeight="1">
      <c r="A16" s="13" t="s">
        <v>29</v>
      </c>
      <c r="B16" s="7">
        <f>COUNTIF('Base_Partidos 2026'!C:C,A16)</f>
        <v>15</v>
      </c>
      <c r="C16" s="7">
        <f>SUMIF('Base_Partidos 2026'!C:C,A16,'Base_Partidos 2026'!E:E)</f>
        <v>4</v>
      </c>
      <c r="D16" s="8">
        <f t="shared" si="1"/>
        <v>0.2666666667</v>
      </c>
      <c r="E16" s="7">
        <f>SUMIF('Base_Partidos 2026'!C:C,A16,'Base_Partidos 2026'!F:F)</f>
        <v>2</v>
      </c>
      <c r="F16" s="7">
        <f t="shared" si="2"/>
        <v>6</v>
      </c>
      <c r="G16" s="8">
        <f t="shared" si="3"/>
        <v>0.4</v>
      </c>
      <c r="H16" s="7">
        <f>COUNTIFS('Base_Partidos 2026'!C:C,A16,'Base_Partidos 2026'!G:G,"G")</f>
        <v>5</v>
      </c>
      <c r="I16" s="7">
        <f>COUNTIFS('Base_Partidos 2026'!C:C,A16,'Base_Partidos 2026'!G:G,"E")</f>
        <v>1</v>
      </c>
      <c r="J16" s="7">
        <f>COUNTIFS('Base_Partidos 2026'!C:C,A16,'Base_Partidos 2026'!G:G,"P")</f>
        <v>9</v>
      </c>
      <c r="K16" s="9">
        <f t="shared" si="4"/>
        <v>0.3555555556</v>
      </c>
      <c r="L16" s="7">
        <f>COUNTIFS('Base_Partidos 2026'!C:C,A16,'Base_Partidos 2026'!H:H,"SI")</f>
        <v>3</v>
      </c>
      <c r="M16" s="10"/>
      <c r="N16" s="11"/>
      <c r="O16" s="12"/>
    </row>
    <row r="17" ht="14.25" customHeight="1">
      <c r="A17" s="6" t="s">
        <v>30</v>
      </c>
      <c r="B17" s="7">
        <f>COUNTIF('Base_Partidos 2026'!C:C,A17)</f>
        <v>17</v>
      </c>
      <c r="C17" s="7">
        <f>SUMIF('Base_Partidos 2026'!C:C,A17,'Base_Partidos 2026'!E:E)</f>
        <v>4</v>
      </c>
      <c r="D17" s="8">
        <f t="shared" si="1"/>
        <v>0.2352941176</v>
      </c>
      <c r="E17" s="7">
        <f>SUMIF('Base_Partidos 2026'!C:C,A17,'Base_Partidos 2026'!F:F)</f>
        <v>4</v>
      </c>
      <c r="F17" s="7">
        <f t="shared" si="2"/>
        <v>8</v>
      </c>
      <c r="G17" s="8">
        <f t="shared" si="3"/>
        <v>0.4705882353</v>
      </c>
      <c r="H17" s="7">
        <f>COUNTIFS('Base_Partidos 2026'!C:C,A17,'Base_Partidos 2026'!G:G,"G")</f>
        <v>7</v>
      </c>
      <c r="I17" s="7">
        <f>COUNTIFS('Base_Partidos 2026'!C:C,A17,'Base_Partidos 2026'!G:G,"E")</f>
        <v>2</v>
      </c>
      <c r="J17" s="7">
        <f>COUNTIFS('Base_Partidos 2026'!C:C,A17,'Base_Partidos 2026'!G:G,"P")</f>
        <v>8</v>
      </c>
      <c r="K17" s="9">
        <f t="shared" si="4"/>
        <v>0.4509803922</v>
      </c>
      <c r="L17" s="7">
        <f>COUNTIFS('Base_Partidos 2026'!C:C,A17,'Base_Partidos 2026'!H:H,"SI")</f>
        <v>0</v>
      </c>
      <c r="M17" s="10"/>
      <c r="N17" s="11"/>
      <c r="O17" s="12"/>
    </row>
    <row r="18" ht="14.25" customHeight="1">
      <c r="A18" s="6" t="s">
        <v>31</v>
      </c>
      <c r="B18" s="7">
        <f>COUNTIF('Base_Partidos 2026'!C:C,A18)</f>
        <v>17</v>
      </c>
      <c r="C18" s="7">
        <f>SUMIF('Base_Partidos 2026'!C:C,A18,'Base_Partidos 2026'!E:E)</f>
        <v>4</v>
      </c>
      <c r="D18" s="8">
        <f t="shared" si="1"/>
        <v>0.2352941176</v>
      </c>
      <c r="E18" s="7">
        <f>SUMIF('Base_Partidos 2026'!C:C,A18,'Base_Partidos 2026'!F:F)</f>
        <v>2</v>
      </c>
      <c r="F18" s="7">
        <f t="shared" si="2"/>
        <v>6</v>
      </c>
      <c r="G18" s="8">
        <f t="shared" si="3"/>
        <v>0.3529411765</v>
      </c>
      <c r="H18" s="7">
        <f>COUNTIFS('Base_Partidos 2026'!C:C,A18,'Base_Partidos 2026'!G:G,"G")</f>
        <v>8</v>
      </c>
      <c r="I18" s="7">
        <f>COUNTIFS('Base_Partidos 2026'!C:C,A18,'Base_Partidos 2026'!G:G,"E")</f>
        <v>3</v>
      </c>
      <c r="J18" s="7">
        <f>COUNTIFS('Base_Partidos 2026'!C:C,A18,'Base_Partidos 2026'!G:G,"P")</f>
        <v>6</v>
      </c>
      <c r="K18" s="9">
        <f t="shared" si="4"/>
        <v>0.5294117647</v>
      </c>
      <c r="L18" s="7">
        <f>COUNTIFS('Base_Partidos 2026'!C:C,A18,'Base_Partidos 2026'!H:H,"SI")</f>
        <v>0</v>
      </c>
      <c r="M18" s="10"/>
      <c r="N18" s="11"/>
      <c r="O18" s="12"/>
    </row>
    <row r="19" ht="14.25" customHeight="1">
      <c r="A19" s="6" t="s">
        <v>32</v>
      </c>
      <c r="B19" s="7">
        <f>COUNTIF('Base_Partidos 2026'!C:C,A19)</f>
        <v>9</v>
      </c>
      <c r="C19" s="7">
        <f>SUMIF('Base_Partidos 2026'!C:C,A19,'Base_Partidos 2026'!E:E)</f>
        <v>4</v>
      </c>
      <c r="D19" s="8">
        <f t="shared" si="1"/>
        <v>0.4444444444</v>
      </c>
      <c r="E19" s="7">
        <f>SUMIF('Base_Partidos 2026'!C:C,A19,'Base_Partidos 2026'!F:F)</f>
        <v>1</v>
      </c>
      <c r="F19" s="7">
        <f t="shared" si="2"/>
        <v>5</v>
      </c>
      <c r="G19" s="8">
        <f t="shared" si="3"/>
        <v>0.5555555556</v>
      </c>
      <c r="H19" s="7">
        <f>COUNTIFS('Base_Partidos 2026'!C:C,A19,'Base_Partidos 2026'!G:G,"G")</f>
        <v>3</v>
      </c>
      <c r="I19" s="7">
        <f>COUNTIFS('Base_Partidos 2026'!C:C,A19,'Base_Partidos 2026'!G:G,"E")</f>
        <v>1</v>
      </c>
      <c r="J19" s="7">
        <f>COUNTIFS('Base_Partidos 2026'!C:C,A19,'Base_Partidos 2026'!G:G,"P")</f>
        <v>5</v>
      </c>
      <c r="K19" s="9">
        <f t="shared" si="4"/>
        <v>0.3703703704</v>
      </c>
      <c r="L19" s="7">
        <f>COUNTIFS('Base_Partidos 2026'!C:C,A19,'Base_Partidos 2026'!H:H,"SI")</f>
        <v>0</v>
      </c>
      <c r="M19" s="10"/>
      <c r="N19" s="11"/>
      <c r="O19" s="12"/>
    </row>
    <row r="20" ht="14.25" customHeight="1">
      <c r="A20" s="6" t="s">
        <v>33</v>
      </c>
      <c r="B20" s="7">
        <f>COUNTIF('Base_Partidos 2026'!C:C,A20)</f>
        <v>7</v>
      </c>
      <c r="C20" s="7">
        <f>SUMIF('Base_Partidos 2026'!C:C,A20,'Base_Partidos 2026'!E:E)</f>
        <v>4</v>
      </c>
      <c r="D20" s="8">
        <f t="shared" si="1"/>
        <v>0.5714285714</v>
      </c>
      <c r="E20" s="7">
        <f>SUMIF('Base_Partidos 2026'!C:C,A20,'Base_Partidos 2026'!F:F)</f>
        <v>3</v>
      </c>
      <c r="F20" s="7">
        <f t="shared" si="2"/>
        <v>7</v>
      </c>
      <c r="G20" s="8">
        <f t="shared" si="3"/>
        <v>1</v>
      </c>
      <c r="H20" s="7">
        <f>COUNTIFS('Base_Partidos 2026'!C:C,A20,'Base_Partidos 2026'!G:G,"G")</f>
        <v>3</v>
      </c>
      <c r="I20" s="7">
        <f>COUNTIFS('Base_Partidos 2026'!C:C,A20,'Base_Partidos 2026'!G:G,"E")</f>
        <v>1</v>
      </c>
      <c r="J20" s="7">
        <f>COUNTIFS('Base_Partidos 2026'!C:C,A20,'Base_Partidos 2026'!G:G,"P")</f>
        <v>3</v>
      </c>
      <c r="K20" s="9">
        <f t="shared" si="4"/>
        <v>0.4761904762</v>
      </c>
      <c r="L20" s="7">
        <f>COUNTIFS('Base_Partidos 2026'!C:C,A20,'Base_Partidos 2026'!H:H,"SI")</f>
        <v>2</v>
      </c>
      <c r="M20" s="10"/>
      <c r="N20" s="11"/>
      <c r="O20" s="12"/>
    </row>
    <row r="21" ht="14.25" customHeight="1">
      <c r="A21" s="6" t="s">
        <v>34</v>
      </c>
      <c r="B21" s="7">
        <f>COUNTIF('Base_Partidos 2026'!C:C,A21)</f>
        <v>5</v>
      </c>
      <c r="C21" s="7">
        <f>SUMIF('Base_Partidos 2026'!C:C,A21,'Base_Partidos 2026'!E:E)</f>
        <v>4</v>
      </c>
      <c r="D21" s="8">
        <f t="shared" si="1"/>
        <v>0.8</v>
      </c>
      <c r="E21" s="7">
        <f>SUMIF('Base_Partidos 2026'!C:C,A21,'Base_Partidos 2026'!F:F)</f>
        <v>4</v>
      </c>
      <c r="F21" s="7">
        <f t="shared" si="2"/>
        <v>8</v>
      </c>
      <c r="G21" s="8">
        <f t="shared" si="3"/>
        <v>1.6</v>
      </c>
      <c r="H21" s="7">
        <f>COUNTIFS('Base_Partidos 2026'!C:C,A21,'Base_Partidos 2026'!G:G,"G")</f>
        <v>4</v>
      </c>
      <c r="I21" s="7">
        <f>COUNTIFS('Base_Partidos 2026'!C:C,A21,'Base_Partidos 2026'!G:G,"E")</f>
        <v>0</v>
      </c>
      <c r="J21" s="7">
        <f>COUNTIFS('Base_Partidos 2026'!C:C,A21,'Base_Partidos 2026'!G:G,"P")</f>
        <v>1</v>
      </c>
      <c r="K21" s="9">
        <f t="shared" si="4"/>
        <v>0.8</v>
      </c>
      <c r="L21" s="7">
        <f>COUNTIFS('Base_Partidos 2026'!C:C,A21,'Base_Partidos 2026'!H:H,"SI")</f>
        <v>0</v>
      </c>
      <c r="M21" s="10"/>
      <c r="N21" s="11"/>
      <c r="O21" s="12"/>
    </row>
    <row r="22" ht="14.25" customHeight="1">
      <c r="A22" s="6" t="s">
        <v>35</v>
      </c>
      <c r="B22" s="7">
        <f>COUNTIF('Base_Partidos 2026'!C:C,A22)</f>
        <v>9</v>
      </c>
      <c r="C22" s="7">
        <f>SUMIF('Base_Partidos 2026'!C:C,A22,'Base_Partidos 2026'!E:E)</f>
        <v>3</v>
      </c>
      <c r="D22" s="8">
        <f t="shared" si="1"/>
        <v>0.3333333333</v>
      </c>
      <c r="E22" s="7">
        <f>SUMIF('Base_Partidos 2026'!C:C,A22,'Base_Partidos 2026'!F:F)</f>
        <v>3</v>
      </c>
      <c r="F22" s="7">
        <f t="shared" si="2"/>
        <v>6</v>
      </c>
      <c r="G22" s="8">
        <f t="shared" si="3"/>
        <v>0.6666666667</v>
      </c>
      <c r="H22" s="7">
        <f>COUNTIFS('Base_Partidos 2026'!C:C,A22,'Base_Partidos 2026'!G:G,"G")</f>
        <v>4</v>
      </c>
      <c r="I22" s="7">
        <f>COUNTIFS('Base_Partidos 2026'!C:C,A22,'Base_Partidos 2026'!G:G,"E")</f>
        <v>2</v>
      </c>
      <c r="J22" s="7">
        <f>COUNTIFS('Base_Partidos 2026'!C:C,A22,'Base_Partidos 2026'!G:G,"P")</f>
        <v>3</v>
      </c>
      <c r="K22" s="9">
        <f t="shared" si="4"/>
        <v>0.5185185185</v>
      </c>
      <c r="L22" s="7">
        <f>COUNTIFS('Base_Partidos 2026'!C:C,A22,'Base_Partidos 2026'!H:H,"SI")</f>
        <v>2</v>
      </c>
      <c r="M22" s="10"/>
      <c r="N22" s="11"/>
      <c r="O22" s="12"/>
    </row>
    <row r="23" ht="14.25" customHeight="1">
      <c r="A23" s="6" t="s">
        <v>36</v>
      </c>
      <c r="B23" s="7">
        <f>COUNTIF('Base_Partidos 2026'!C:C,A23)</f>
        <v>22</v>
      </c>
      <c r="C23" s="7">
        <f>SUMIF('Base_Partidos 2026'!C:C,A23,'Base_Partidos 2026'!E:E)</f>
        <v>2</v>
      </c>
      <c r="D23" s="8">
        <f t="shared" si="1"/>
        <v>0.09090909091</v>
      </c>
      <c r="E23" s="7">
        <f>SUMIF('Base_Partidos 2026'!C:C,A23,'Base_Partidos 2026'!F:F)</f>
        <v>1</v>
      </c>
      <c r="F23" s="7">
        <f t="shared" si="2"/>
        <v>3</v>
      </c>
      <c r="G23" s="8">
        <f t="shared" si="3"/>
        <v>0.1363636364</v>
      </c>
      <c r="H23" s="7">
        <f>COUNTIFS('Base_Partidos 2026'!C:C,A23,'Base_Partidos 2026'!G:G,"G")</f>
        <v>7</v>
      </c>
      <c r="I23" s="7">
        <f>COUNTIFS('Base_Partidos 2026'!C:C,A23,'Base_Partidos 2026'!G:G,"E")</f>
        <v>3</v>
      </c>
      <c r="J23" s="7">
        <f>COUNTIFS('Base_Partidos 2026'!C:C,A23,'Base_Partidos 2026'!G:G,"P")</f>
        <v>12</v>
      </c>
      <c r="K23" s="9">
        <f t="shared" si="4"/>
        <v>0.3636363636</v>
      </c>
      <c r="L23" s="7">
        <f>COUNTIFS('Base_Partidos 2026'!C:C,A23,'Base_Partidos 2026'!H:H,"SI")</f>
        <v>1</v>
      </c>
      <c r="M23" s="10"/>
      <c r="N23" s="11"/>
      <c r="O23" s="12"/>
    </row>
    <row r="24" ht="14.25" customHeight="1">
      <c r="A24" s="6" t="s">
        <v>37</v>
      </c>
      <c r="B24" s="7">
        <f>COUNTIF('Base_Partidos 2026'!C:C,A24)</f>
        <v>19</v>
      </c>
      <c r="C24" s="7">
        <f>SUMIF('Base_Partidos 2026'!C:C,A24,'Base_Partidos 2026'!E:E)</f>
        <v>2</v>
      </c>
      <c r="D24" s="8">
        <f t="shared" si="1"/>
        <v>0.1052631579</v>
      </c>
      <c r="E24" s="7">
        <f>SUMIF('Base_Partidos 2026'!C:C,A24,'Base_Partidos 2026'!F:F)</f>
        <v>0</v>
      </c>
      <c r="F24" s="7">
        <f t="shared" si="2"/>
        <v>2</v>
      </c>
      <c r="G24" s="8">
        <f t="shared" si="3"/>
        <v>0.1052631579</v>
      </c>
      <c r="H24" s="7">
        <f>COUNTIFS('Base_Partidos 2026'!C:C,A24,'Base_Partidos 2026'!G:G,"G")</f>
        <v>8</v>
      </c>
      <c r="I24" s="7">
        <f>COUNTIFS('Base_Partidos 2026'!C:C,A24,'Base_Partidos 2026'!G:G,"E")</f>
        <v>3</v>
      </c>
      <c r="J24" s="7">
        <f>COUNTIFS('Base_Partidos 2026'!C:C,A24,'Base_Partidos 2026'!G:G,"P")</f>
        <v>8</v>
      </c>
      <c r="K24" s="9">
        <f t="shared" si="4"/>
        <v>0.4736842105</v>
      </c>
      <c r="L24" s="7">
        <f>COUNTIFS('Base_Partidos 2026'!C:C,A24,'Base_Partidos 2026'!H:H,"SI")</f>
        <v>2</v>
      </c>
      <c r="M24" s="10"/>
      <c r="N24" s="11"/>
      <c r="O24" s="12"/>
    </row>
    <row r="25" ht="14.25" customHeight="1">
      <c r="A25" s="6" t="s">
        <v>38</v>
      </c>
      <c r="B25" s="7">
        <f>COUNTIF('Base_Partidos 2026'!C:C,A25)</f>
        <v>8</v>
      </c>
      <c r="C25" s="7">
        <f>SUMIF('Base_Partidos 2026'!C:C,A25,'Base_Partidos 2026'!E:E)</f>
        <v>2</v>
      </c>
      <c r="D25" s="8">
        <f t="shared" si="1"/>
        <v>0.25</v>
      </c>
      <c r="E25" s="7">
        <f>SUMIF('Base_Partidos 2026'!C:C,A25,'Base_Partidos 2026'!F:F)</f>
        <v>1</v>
      </c>
      <c r="F25" s="7">
        <f t="shared" si="2"/>
        <v>3</v>
      </c>
      <c r="G25" s="8">
        <f t="shared" si="3"/>
        <v>0.375</v>
      </c>
      <c r="H25" s="7">
        <f>COUNTIFS('Base_Partidos 2026'!C:C,A25,'Base_Partidos 2026'!G:G,"G")</f>
        <v>3</v>
      </c>
      <c r="I25" s="7">
        <f>COUNTIFS('Base_Partidos 2026'!C:C,A25,'Base_Partidos 2026'!G:G,"E")</f>
        <v>2</v>
      </c>
      <c r="J25" s="7">
        <f>COUNTIFS('Base_Partidos 2026'!C:C,A25,'Base_Partidos 2026'!G:G,"P")</f>
        <v>3</v>
      </c>
      <c r="K25" s="9">
        <f t="shared" si="4"/>
        <v>0.4583333333</v>
      </c>
      <c r="L25" s="7">
        <f>COUNTIFS('Base_Partidos 2026'!C:C,A25,'Base_Partidos 2026'!H:H,"SI")</f>
        <v>1</v>
      </c>
      <c r="M25" s="10"/>
      <c r="N25" s="11"/>
      <c r="O25" s="12"/>
    </row>
    <row r="26" ht="14.25" customHeight="1">
      <c r="A26" s="6" t="s">
        <v>39</v>
      </c>
      <c r="B26" s="7">
        <f>COUNTIF('Base_Partidos 2026'!C:C,A26)</f>
        <v>4</v>
      </c>
      <c r="C26" s="7">
        <f>SUMIF('Base_Partidos 2026'!C:C,A26,'Base_Partidos 2026'!E:E)</f>
        <v>1</v>
      </c>
      <c r="D26" s="8">
        <f t="shared" si="1"/>
        <v>0.25</v>
      </c>
      <c r="E26" s="7">
        <f>SUMIF('Base_Partidos 2026'!C:C,A26,'Base_Partidos 2026'!F:F)</f>
        <v>1</v>
      </c>
      <c r="F26" s="7">
        <f t="shared" si="2"/>
        <v>2</v>
      </c>
      <c r="G26" s="8">
        <f t="shared" si="3"/>
        <v>0.5</v>
      </c>
      <c r="H26" s="7">
        <f>COUNTIFS('Base_Partidos 2026'!C:C,A26,'Base_Partidos 2026'!G:G,"G")</f>
        <v>1</v>
      </c>
      <c r="I26" s="7">
        <f>COUNTIFS('Base_Partidos 2026'!C:C,A26,'Base_Partidos 2026'!G:G,"E")</f>
        <v>0</v>
      </c>
      <c r="J26" s="7">
        <f>COUNTIFS('Base_Partidos 2026'!C:C,A26,'Base_Partidos 2026'!G:G,"P")</f>
        <v>3</v>
      </c>
      <c r="K26" s="9">
        <f t="shared" si="4"/>
        <v>0.25</v>
      </c>
      <c r="L26" s="7">
        <f>COUNTIFS('Base_Partidos 2026'!C:C,A26,'Base_Partidos 2026'!H:H,"SI")</f>
        <v>0</v>
      </c>
      <c r="M26" s="10"/>
      <c r="N26" s="11"/>
      <c r="O26" s="12"/>
    </row>
    <row r="27" ht="14.25" customHeight="1">
      <c r="A27" s="6" t="s">
        <v>40</v>
      </c>
      <c r="B27" s="7">
        <f>COUNTIF('Base_Partidos 2026'!C:C,A27)</f>
        <v>4</v>
      </c>
      <c r="C27" s="7">
        <f>SUMIF('Base_Partidos 2026'!C:C,A27,'Base_Partidos 2026'!E:E)</f>
        <v>1</v>
      </c>
      <c r="D27" s="8">
        <f t="shared" si="1"/>
        <v>0.25</v>
      </c>
      <c r="E27" s="7">
        <f>SUMIF('Base_Partidos 2026'!C:C,A27,'Base_Partidos 2026'!F:F)</f>
        <v>0</v>
      </c>
      <c r="F27" s="7">
        <f t="shared" si="2"/>
        <v>1</v>
      </c>
      <c r="G27" s="8">
        <f t="shared" si="3"/>
        <v>0.25</v>
      </c>
      <c r="H27" s="7">
        <f>COUNTIFS('Base_Partidos 2026'!C:C,A27,'Base_Partidos 2026'!G:G,"G")</f>
        <v>1</v>
      </c>
      <c r="I27" s="7">
        <f>COUNTIFS('Base_Partidos 2026'!C:C,A27,'Base_Partidos 2026'!G:G,"E")</f>
        <v>0</v>
      </c>
      <c r="J27" s="7">
        <f>COUNTIFS('Base_Partidos 2026'!C:C,A27,'Base_Partidos 2026'!G:G,"P")</f>
        <v>3</v>
      </c>
      <c r="K27" s="9">
        <f t="shared" si="4"/>
        <v>0.25</v>
      </c>
      <c r="L27" s="7">
        <f>COUNTIFS('Base_Partidos 2026'!C:C,A27,'Base_Partidos 2026'!H:H,"SI")</f>
        <v>0</v>
      </c>
      <c r="M27" s="10"/>
      <c r="N27" s="11"/>
      <c r="O27" s="12"/>
    </row>
    <row r="28" ht="14.25" customHeight="1">
      <c r="A28" s="6" t="s">
        <v>41</v>
      </c>
      <c r="B28" s="7">
        <f>COUNTIF('Base_Partidos 2026'!C:C,A28)</f>
        <v>3</v>
      </c>
      <c r="C28" s="7">
        <f>SUMIF('Base_Partidos 2026'!C:C,A28,'Base_Partidos 2026'!E:E)</f>
        <v>1</v>
      </c>
      <c r="D28" s="8">
        <f t="shared" si="1"/>
        <v>0.3333333333</v>
      </c>
      <c r="E28" s="7">
        <f>SUMIF('Base_Partidos 2026'!C:C,A28,'Base_Partidos 2026'!F:F)</f>
        <v>0</v>
      </c>
      <c r="F28" s="7">
        <f t="shared" si="2"/>
        <v>1</v>
      </c>
      <c r="G28" s="8">
        <f t="shared" si="3"/>
        <v>0.3333333333</v>
      </c>
      <c r="H28" s="7">
        <f>COUNTIFS('Base_Partidos 2026'!C:C,A28,'Base_Partidos 2026'!G:G,"G")</f>
        <v>1</v>
      </c>
      <c r="I28" s="7">
        <f>COUNTIFS('Base_Partidos 2026'!C:C,A28,'Base_Partidos 2026'!G:G,"E")</f>
        <v>0</v>
      </c>
      <c r="J28" s="7">
        <f>COUNTIFS('Base_Partidos 2026'!C:C,A28,'Base_Partidos 2026'!G:G,"P")</f>
        <v>2</v>
      </c>
      <c r="K28" s="9">
        <f t="shared" si="4"/>
        <v>0.3333333333</v>
      </c>
      <c r="L28" s="7">
        <f>COUNTIFS('Base_Partidos 2026'!C:C,A28,'Base_Partidos 2026'!H:H,"SI")</f>
        <v>1</v>
      </c>
      <c r="M28" s="10">
        <f>N28/B28</f>
        <v>2</v>
      </c>
      <c r="N28" s="11">
        <f>SUMIF('Base_Partidos 2026'!C:C,A28,'Base_Partidos 2026'!I:I)</f>
        <v>6</v>
      </c>
      <c r="O28" s="12"/>
    </row>
    <row r="29" ht="14.25" customHeight="1">
      <c r="A29" s="6" t="s">
        <v>42</v>
      </c>
      <c r="B29" s="7">
        <f>COUNTIF('Base_Partidos 2026'!C:C,A29)</f>
        <v>2</v>
      </c>
      <c r="C29" s="7">
        <f>SUMIF('Base_Partidos 2026'!C:C,A29,'Base_Partidos 2026'!E:E)</f>
        <v>1</v>
      </c>
      <c r="D29" s="8">
        <f t="shared" si="1"/>
        <v>0.5</v>
      </c>
      <c r="E29" s="7">
        <f>SUMIF('Base_Partidos 2026'!C:C,A29,'Base_Partidos 2026'!F:F)</f>
        <v>0</v>
      </c>
      <c r="F29" s="7">
        <f t="shared" si="2"/>
        <v>1</v>
      </c>
      <c r="G29" s="8">
        <f t="shared" si="3"/>
        <v>0.5</v>
      </c>
      <c r="H29" s="7">
        <f>COUNTIFS('Base_Partidos 2026'!C:C,A29,'Base_Partidos 2026'!G:G,"G")</f>
        <v>0</v>
      </c>
      <c r="I29" s="7">
        <f>COUNTIFS('Base_Partidos 2026'!C:C,A29,'Base_Partidos 2026'!G:G,"E")</f>
        <v>0</v>
      </c>
      <c r="J29" s="7">
        <f>COUNTIFS('Base_Partidos 2026'!C:C,A29,'Base_Partidos 2026'!G:G,"P")</f>
        <v>2</v>
      </c>
      <c r="K29" s="9">
        <f t="shared" si="4"/>
        <v>0</v>
      </c>
      <c r="L29" s="7">
        <f>COUNTIFS('Base_Partidos 2026'!C:C,A29,'Base_Partidos 2026'!H:H,"SI")</f>
        <v>1</v>
      </c>
      <c r="M29" s="10"/>
      <c r="N29" s="11"/>
      <c r="O29" s="12"/>
    </row>
    <row r="30" ht="14.25" customHeight="1">
      <c r="A30" s="6" t="s">
        <v>43</v>
      </c>
      <c r="B30" s="7">
        <f>COUNTIF('Base_Partidos 2026'!C:C,A30)</f>
        <v>1</v>
      </c>
      <c r="C30" s="7">
        <f>SUMIF('Base_Partidos 2026'!C:C,A30,'Base_Partidos 2026'!E:E)</f>
        <v>1</v>
      </c>
      <c r="D30" s="8">
        <f t="shared" si="1"/>
        <v>1</v>
      </c>
      <c r="E30" s="7">
        <f>SUMIF('Base_Partidos 2026'!C:C,A30,'Base_Partidos 2026'!F:F)</f>
        <v>0</v>
      </c>
      <c r="F30" s="7">
        <f t="shared" si="2"/>
        <v>1</v>
      </c>
      <c r="G30" s="8">
        <f t="shared" si="3"/>
        <v>1</v>
      </c>
      <c r="H30" s="7">
        <f>COUNTIFS('Base_Partidos 2026'!C:C,A30,'Base_Partidos 2026'!G:G,"G")</f>
        <v>0</v>
      </c>
      <c r="I30" s="7">
        <f>COUNTIFS('Base_Partidos 2026'!C:C,A30,'Base_Partidos 2026'!G:G,"E")</f>
        <v>0</v>
      </c>
      <c r="J30" s="7">
        <f>COUNTIFS('Base_Partidos 2026'!C:C,A30,'Base_Partidos 2026'!G:G,"P")</f>
        <v>1</v>
      </c>
      <c r="K30" s="9">
        <f t="shared" si="4"/>
        <v>0</v>
      </c>
      <c r="L30" s="7">
        <f>COUNTIFS('Base_Partidos 2026'!C:C,A30,'Base_Partidos 2026'!H:H,"SI")</f>
        <v>0</v>
      </c>
      <c r="M30" s="10"/>
      <c r="N30" s="11"/>
      <c r="O30" s="12"/>
    </row>
    <row r="31" ht="14.25" customHeight="1">
      <c r="A31" s="6" t="s">
        <v>44</v>
      </c>
      <c r="B31" s="7">
        <f>COUNTIF('Base_Partidos 2026'!C:C,A31)</f>
        <v>2</v>
      </c>
      <c r="C31" s="7">
        <f>SUMIF('Base_Partidos 2026'!C:C,A31,'Base_Partidos 2026'!E:E)</f>
        <v>1</v>
      </c>
      <c r="D31" s="8">
        <f t="shared" si="1"/>
        <v>0.5</v>
      </c>
      <c r="E31" s="7">
        <f>SUMIF('Base_Partidos 2026'!C:C,A31,'Base_Partidos 2026'!F:F)</f>
        <v>1</v>
      </c>
      <c r="F31" s="7">
        <f t="shared" si="2"/>
        <v>2</v>
      </c>
      <c r="G31" s="8">
        <f t="shared" si="3"/>
        <v>1</v>
      </c>
      <c r="H31" s="7">
        <f>COUNTIFS('Base_Partidos 2026'!C:C,A31,'Base_Partidos 2026'!G:G,"G")</f>
        <v>1</v>
      </c>
      <c r="I31" s="7">
        <f>COUNTIFS('Base_Partidos 2026'!C:C,A31,'Base_Partidos 2026'!G:G,"E")</f>
        <v>0</v>
      </c>
      <c r="J31" s="7">
        <f>COUNTIFS('Base_Partidos 2026'!C:C,A31,'Base_Partidos 2026'!G:G,"P")</f>
        <v>1</v>
      </c>
      <c r="K31" s="9">
        <f t="shared" si="4"/>
        <v>0.5</v>
      </c>
      <c r="L31" s="7">
        <f>COUNTIFS('Base_Partidos 2026'!C:C,A31,'Base_Partidos 2026'!H:H,"SI")</f>
        <v>0</v>
      </c>
      <c r="M31" s="10"/>
      <c r="N31" s="11"/>
      <c r="O31" s="12"/>
    </row>
    <row r="32" ht="14.25" customHeight="1">
      <c r="A32" s="13" t="s">
        <v>45</v>
      </c>
      <c r="B32" s="7">
        <f>COUNTIF('Base_Partidos 2026'!C:C,A32)</f>
        <v>1</v>
      </c>
      <c r="C32" s="7">
        <f>SUMIF('Base_Partidos 2026'!C:C,A32,'Base_Partidos 2026'!E:E)</f>
        <v>1</v>
      </c>
      <c r="D32" s="8">
        <f t="shared" si="1"/>
        <v>1</v>
      </c>
      <c r="E32" s="7">
        <f>SUMIF('Base_Partidos 2026'!C:C,A32,'Base_Partidos 2026'!F:F)</f>
        <v>0</v>
      </c>
      <c r="F32" s="7">
        <f t="shared" si="2"/>
        <v>1</v>
      </c>
      <c r="G32" s="8">
        <f t="shared" si="3"/>
        <v>1</v>
      </c>
      <c r="H32" s="7">
        <f>COUNTIFS('Base_Partidos 2026'!C:C,A32,'Base_Partidos 2026'!G:G,"G")</f>
        <v>1</v>
      </c>
      <c r="I32" s="7">
        <f>COUNTIFS('Base_Partidos 2026'!C:C,A32,'Base_Partidos 2026'!G:G,"E")</f>
        <v>0</v>
      </c>
      <c r="J32" s="7">
        <f>COUNTIFS('Base_Partidos 2026'!C:C,A32,'Base_Partidos 2026'!G:G,"P")</f>
        <v>0</v>
      </c>
      <c r="K32" s="9">
        <f t="shared" si="4"/>
        <v>1</v>
      </c>
      <c r="L32" s="7">
        <f>COUNTIFS('Base_Partidos 2026'!C:C,A32,'Base_Partidos 2026'!H:H,"SI")</f>
        <v>0</v>
      </c>
      <c r="M32" s="10"/>
      <c r="N32" s="11"/>
      <c r="O32" s="12"/>
    </row>
    <row r="33" ht="14.25" customHeight="1">
      <c r="A33" s="6" t="s">
        <v>46</v>
      </c>
      <c r="B33" s="7">
        <f>COUNTIF('Base_Partidos 2026'!C:C,A33)</f>
        <v>22</v>
      </c>
      <c r="C33" s="7">
        <f>SUMIF('Base_Partidos 2026'!C:C,A33,'Base_Partidos 2026'!E:E)</f>
        <v>0</v>
      </c>
      <c r="D33" s="8">
        <f t="shared" si="1"/>
        <v>0</v>
      </c>
      <c r="E33" s="7">
        <f>SUMIF('Base_Partidos 2026'!C:C,A33,'Base_Partidos 2026'!F:F)</f>
        <v>2</v>
      </c>
      <c r="F33" s="7">
        <f t="shared" si="2"/>
        <v>2</v>
      </c>
      <c r="G33" s="8">
        <f t="shared" si="3"/>
        <v>0.09090909091</v>
      </c>
      <c r="H33" s="7">
        <f>COUNTIFS('Base_Partidos 2026'!C:C,A33,'Base_Partidos 2026'!G:G,"G")</f>
        <v>11</v>
      </c>
      <c r="I33" s="7">
        <f>COUNTIFS('Base_Partidos 2026'!C:C,A33,'Base_Partidos 2026'!G:G,"E")</f>
        <v>2</v>
      </c>
      <c r="J33" s="7">
        <f>COUNTIFS('Base_Partidos 2026'!C:C,A33,'Base_Partidos 2026'!G:G,"P")</f>
        <v>9</v>
      </c>
      <c r="K33" s="9">
        <f t="shared" si="4"/>
        <v>0.5303030303</v>
      </c>
      <c r="L33" s="7">
        <f>COUNTIFS('Base_Partidos 2026'!C:C,A33,'Base_Partidos 2026'!H:H,"SI")</f>
        <v>3</v>
      </c>
      <c r="M33" s="10">
        <f t="shared" ref="M33:M34" si="5">N33/B33</f>
        <v>3.045454545</v>
      </c>
      <c r="N33" s="11">
        <f>SUMIF('Base_Partidos 2026'!C:C,A33,'Base_Partidos 2026'!I:I)</f>
        <v>67</v>
      </c>
      <c r="O33" s="12"/>
    </row>
    <row r="34" ht="14.25" customHeight="1">
      <c r="A34" s="6" t="s">
        <v>47</v>
      </c>
      <c r="B34" s="7">
        <f>COUNTIF('Base_Partidos 2026'!C:C,A34)</f>
        <v>18</v>
      </c>
      <c r="C34" s="7">
        <f>SUMIF('Base_Partidos 2026'!C:C,A34,'Base_Partidos 2026'!E:E)</f>
        <v>0</v>
      </c>
      <c r="D34" s="8">
        <f t="shared" si="1"/>
        <v>0</v>
      </c>
      <c r="E34" s="7">
        <f>SUMIF('Base_Partidos 2026'!C:C,A34,'Base_Partidos 2026'!F:F)</f>
        <v>1</v>
      </c>
      <c r="F34" s="7">
        <f t="shared" si="2"/>
        <v>1</v>
      </c>
      <c r="G34" s="8">
        <f t="shared" si="3"/>
        <v>0.05555555556</v>
      </c>
      <c r="H34" s="7">
        <f>COUNTIFS('Base_Partidos 2026'!C:C,A34,'Base_Partidos 2026'!G:G,"G")</f>
        <v>8</v>
      </c>
      <c r="I34" s="7">
        <f>COUNTIFS('Base_Partidos 2026'!C:C,A34,'Base_Partidos 2026'!G:G,"E")</f>
        <v>2</v>
      </c>
      <c r="J34" s="7">
        <f>COUNTIFS('Base_Partidos 2026'!C:C,A34,'Base_Partidos 2026'!G:G,"P")</f>
        <v>8</v>
      </c>
      <c r="K34" s="9">
        <f t="shared" si="4"/>
        <v>0.4814814815</v>
      </c>
      <c r="L34" s="7">
        <f>COUNTIFS('Base_Partidos 2026'!C:C,A34,'Base_Partidos 2026'!H:H,"SI")</f>
        <v>3</v>
      </c>
      <c r="M34" s="10">
        <f t="shared" si="5"/>
        <v>3.166666667</v>
      </c>
      <c r="N34" s="11">
        <f>SUMIF('Base_Partidos 2026'!C:C,A34,'Base_Partidos 2026'!I:I)</f>
        <v>57</v>
      </c>
      <c r="O34" s="12"/>
    </row>
    <row r="35" ht="14.25" customHeight="1">
      <c r="A35" s="6" t="s">
        <v>48</v>
      </c>
      <c r="B35" s="7">
        <f>COUNTIF('Base_Partidos 2026'!C:C,A35)</f>
        <v>21</v>
      </c>
      <c r="C35" s="7">
        <f>SUMIF('Base_Partidos 2026'!C:C,A35,'Base_Partidos 2026'!E:E)</f>
        <v>0</v>
      </c>
      <c r="D35" s="8">
        <f t="shared" si="1"/>
        <v>0</v>
      </c>
      <c r="E35" s="7">
        <f>SUMIF('Base_Partidos 2026'!C:C,A35,'Base_Partidos 2026'!F:F)</f>
        <v>1</v>
      </c>
      <c r="F35" s="7">
        <f t="shared" si="2"/>
        <v>1</v>
      </c>
      <c r="G35" s="8">
        <f t="shared" si="3"/>
        <v>0.04761904762</v>
      </c>
      <c r="H35" s="7">
        <f>COUNTIFS('Base_Partidos 2026'!C:C,A35,'Base_Partidos 2026'!G:G,"G")</f>
        <v>10</v>
      </c>
      <c r="I35" s="7">
        <f>COUNTIFS('Base_Partidos 2026'!C:C,A35,'Base_Partidos 2026'!G:G,"E")</f>
        <v>4</v>
      </c>
      <c r="J35" s="7">
        <f>COUNTIFS('Base_Partidos 2026'!C:C,A35,'Base_Partidos 2026'!G:G,"P")</f>
        <v>7</v>
      </c>
      <c r="K35" s="9">
        <f t="shared" si="4"/>
        <v>0.5396825397</v>
      </c>
      <c r="L35" s="7">
        <f>COUNTIFS('Base_Partidos 2026'!C:C,A35,'Base_Partidos 2026'!H:H,"SI")</f>
        <v>0</v>
      </c>
      <c r="M35" s="10"/>
      <c r="N35" s="11"/>
      <c r="O35" s="12"/>
    </row>
    <row r="36" ht="14.25" customHeight="1">
      <c r="A36" s="6" t="s">
        <v>49</v>
      </c>
      <c r="B36" s="7">
        <f>COUNTIF('Base_Partidos 2026'!C:C,A36)</f>
        <v>11</v>
      </c>
      <c r="C36" s="7">
        <f>SUMIF('Base_Partidos 2026'!C:C,A36,'Base_Partidos 2026'!E:E)</f>
        <v>0</v>
      </c>
      <c r="D36" s="8">
        <f t="shared" si="1"/>
        <v>0</v>
      </c>
      <c r="E36" s="7">
        <f>SUMIF('Base_Partidos 2026'!C:C,A36,'Base_Partidos 2026'!F:F)</f>
        <v>1</v>
      </c>
      <c r="F36" s="7">
        <f t="shared" si="2"/>
        <v>1</v>
      </c>
      <c r="G36" s="8">
        <f t="shared" si="3"/>
        <v>0.09090909091</v>
      </c>
      <c r="H36" s="7">
        <f>COUNTIFS('Base_Partidos 2026'!C:C,A36,'Base_Partidos 2026'!G:G,"G")</f>
        <v>3</v>
      </c>
      <c r="I36" s="7">
        <f>COUNTIFS('Base_Partidos 2026'!C:C,A36,'Base_Partidos 2026'!G:G,"E")</f>
        <v>2</v>
      </c>
      <c r="J36" s="7">
        <f>COUNTIFS('Base_Partidos 2026'!C:C,A36,'Base_Partidos 2026'!G:G,"P")</f>
        <v>6</v>
      </c>
      <c r="K36" s="9">
        <f t="shared" si="4"/>
        <v>0.3333333333</v>
      </c>
      <c r="L36" s="7">
        <f>COUNTIFS('Base_Partidos 2026'!C:C,A36,'Base_Partidos 2026'!H:H,"SI")</f>
        <v>0</v>
      </c>
      <c r="M36" s="10"/>
      <c r="N36" s="11"/>
      <c r="O36" s="12"/>
    </row>
    <row r="37" ht="14.25" customHeight="1">
      <c r="A37" s="6" t="s">
        <v>50</v>
      </c>
      <c r="B37" s="7">
        <f>COUNTIF('Base_Partidos 2026'!C:C,A37)</f>
        <v>15</v>
      </c>
      <c r="C37" s="7">
        <f>SUMIF('Base_Partidos 2026'!C:C,A37,'Base_Partidos 2026'!E:E)</f>
        <v>0</v>
      </c>
      <c r="D37" s="8">
        <f t="shared" si="1"/>
        <v>0</v>
      </c>
      <c r="E37" s="7">
        <f>SUMIF('Base_Partidos 2026'!C:C,A37,'Base_Partidos 2026'!F:F)</f>
        <v>1</v>
      </c>
      <c r="F37" s="7">
        <f t="shared" si="2"/>
        <v>1</v>
      </c>
      <c r="G37" s="8">
        <f t="shared" si="3"/>
        <v>0.06666666667</v>
      </c>
      <c r="H37" s="7">
        <f>COUNTIFS('Base_Partidos 2026'!C:C,A37,'Base_Partidos 2026'!G:G,"G")</f>
        <v>7</v>
      </c>
      <c r="I37" s="7">
        <f>COUNTIFS('Base_Partidos 2026'!C:C,A37,'Base_Partidos 2026'!G:G,"E")</f>
        <v>2</v>
      </c>
      <c r="J37" s="7">
        <f>COUNTIFS('Base_Partidos 2026'!C:C,A37,'Base_Partidos 2026'!G:G,"P")</f>
        <v>6</v>
      </c>
      <c r="K37" s="9">
        <f t="shared" si="4"/>
        <v>0.5111111111</v>
      </c>
      <c r="L37" s="7">
        <f>COUNTIFS('Base_Partidos 2026'!C:C,A37,'Base_Partidos 2026'!H:H,"SI")</f>
        <v>2</v>
      </c>
      <c r="M37" s="10"/>
      <c r="N37" s="11"/>
      <c r="O37" s="12"/>
    </row>
    <row r="38" ht="14.25" customHeight="1">
      <c r="A38" s="6" t="s">
        <v>51</v>
      </c>
      <c r="B38" s="7">
        <f>COUNTIF('Base_Partidos 2026'!C:C,A38)</f>
        <v>6</v>
      </c>
      <c r="C38" s="7">
        <f>SUMIF('Base_Partidos 2026'!C:C,A38,'Base_Partidos 2026'!E:E)</f>
        <v>0</v>
      </c>
      <c r="D38" s="8">
        <f t="shared" si="1"/>
        <v>0</v>
      </c>
      <c r="E38" s="7">
        <f>SUMIF('Base_Partidos 2026'!C:C,A38,'Base_Partidos 2026'!F:F)</f>
        <v>0</v>
      </c>
      <c r="F38" s="7">
        <f t="shared" si="2"/>
        <v>0</v>
      </c>
      <c r="G38" s="8">
        <f t="shared" si="3"/>
        <v>0</v>
      </c>
      <c r="H38" s="7">
        <f>COUNTIFS('Base_Partidos 2026'!C:C,A38,'Base_Partidos 2026'!G:G,"G")</f>
        <v>3</v>
      </c>
      <c r="I38" s="7">
        <f>COUNTIFS('Base_Partidos 2026'!C:C,A38,'Base_Partidos 2026'!G:G,"E")</f>
        <v>0</v>
      </c>
      <c r="J38" s="7">
        <f>COUNTIFS('Base_Partidos 2026'!C:C,A38,'Base_Partidos 2026'!G:G,"P")</f>
        <v>3</v>
      </c>
      <c r="K38" s="9">
        <f t="shared" si="4"/>
        <v>0.5</v>
      </c>
      <c r="L38" s="7">
        <f>COUNTIFS('Base_Partidos 2026'!C:C,A38,'Base_Partidos 2026'!H:H,"SI")</f>
        <v>0</v>
      </c>
      <c r="M38" s="10"/>
      <c r="N38" s="11"/>
      <c r="O38" s="12"/>
    </row>
    <row r="39" ht="14.25" customHeight="1">
      <c r="A39" s="6" t="s">
        <v>52</v>
      </c>
      <c r="B39" s="7">
        <f>COUNTIF('Base_Partidos 2026'!C:C,A39)</f>
        <v>4</v>
      </c>
      <c r="C39" s="7">
        <f>SUMIF('Base_Partidos 2026'!C:C,A39,'Base_Partidos 2026'!E:E)</f>
        <v>0</v>
      </c>
      <c r="D39" s="8">
        <f t="shared" si="1"/>
        <v>0</v>
      </c>
      <c r="E39" s="7">
        <f>SUMIF('Base_Partidos 2026'!C:C,A39,'Base_Partidos 2026'!F:F)</f>
        <v>0</v>
      </c>
      <c r="F39" s="7">
        <f t="shared" si="2"/>
        <v>0</v>
      </c>
      <c r="G39" s="8">
        <f t="shared" si="3"/>
        <v>0</v>
      </c>
      <c r="H39" s="7">
        <f>COUNTIFS('Base_Partidos 2026'!C:C,A39,'Base_Partidos 2026'!G:G,"G")</f>
        <v>2</v>
      </c>
      <c r="I39" s="7">
        <f>COUNTIFS('Base_Partidos 2026'!C:C,A39,'Base_Partidos 2026'!G:G,"E")</f>
        <v>0</v>
      </c>
      <c r="J39" s="7">
        <f>COUNTIFS('Base_Partidos 2026'!C:C,A39,'Base_Partidos 2026'!G:G,"P")</f>
        <v>2</v>
      </c>
      <c r="K39" s="9">
        <f t="shared" si="4"/>
        <v>0.5</v>
      </c>
      <c r="L39" s="7">
        <f>COUNTIFS('Base_Partidos 2026'!C:C,A39,'Base_Partidos 2026'!H:H,"SI")</f>
        <v>1</v>
      </c>
      <c r="M39" s="10"/>
      <c r="N39" s="11"/>
      <c r="O39" s="12"/>
    </row>
    <row r="40" ht="14.25" customHeight="1">
      <c r="A40" s="6" t="s">
        <v>53</v>
      </c>
      <c r="B40" s="7">
        <f>COUNTIF('Base_Partidos 2026'!C:C,A40)</f>
        <v>4</v>
      </c>
      <c r="C40" s="7">
        <f>SUMIF('Base_Partidos 2026'!C:C,A40,'Base_Partidos 2026'!E:E)</f>
        <v>0</v>
      </c>
      <c r="D40" s="8">
        <f t="shared" si="1"/>
        <v>0</v>
      </c>
      <c r="E40" s="7">
        <f>SUMIF('Base_Partidos 2026'!C:C,A40,'Base_Partidos 2026'!F:F)</f>
        <v>0</v>
      </c>
      <c r="F40" s="7">
        <f t="shared" si="2"/>
        <v>0</v>
      </c>
      <c r="G40" s="8">
        <f t="shared" si="3"/>
        <v>0</v>
      </c>
      <c r="H40" s="7">
        <f>COUNTIFS('Base_Partidos 2026'!C:C,A40,'Base_Partidos 2026'!G:G,"G")</f>
        <v>1</v>
      </c>
      <c r="I40" s="7">
        <f>COUNTIFS('Base_Partidos 2026'!C:C,A40,'Base_Partidos 2026'!G:G,"E")</f>
        <v>1</v>
      </c>
      <c r="J40" s="7">
        <f>COUNTIFS('Base_Partidos 2026'!C:C,A40,'Base_Partidos 2026'!G:G,"P")</f>
        <v>2</v>
      </c>
      <c r="K40" s="9">
        <f t="shared" si="4"/>
        <v>0.3333333333</v>
      </c>
      <c r="L40" s="7">
        <f>COUNTIFS('Base_Partidos 2026'!C:C,A40,'Base_Partidos 2026'!H:H,"SI")</f>
        <v>0</v>
      </c>
      <c r="M40" s="10">
        <f>N40/B40</f>
        <v>3.5</v>
      </c>
      <c r="N40" s="11">
        <f>SUMIF('Base_Partidos 2026'!C:C,A40,'Base_Partidos 2026'!I:I)</f>
        <v>14</v>
      </c>
      <c r="O40" s="12"/>
    </row>
    <row r="41" ht="14.25" customHeight="1">
      <c r="A41" s="6" t="s">
        <v>54</v>
      </c>
      <c r="B41" s="7">
        <f>COUNTIF('Base_Partidos 2026'!C:C,A41)</f>
        <v>6</v>
      </c>
      <c r="C41" s="7">
        <f>SUMIF('Base_Partidos 2026'!C:C,A41,'Base_Partidos 2026'!E:E)</f>
        <v>0</v>
      </c>
      <c r="D41" s="8">
        <f t="shared" si="1"/>
        <v>0</v>
      </c>
      <c r="E41" s="7">
        <f>SUMIF('Base_Partidos 2026'!C:C,A41,'Base_Partidos 2026'!F:F)</f>
        <v>1</v>
      </c>
      <c r="F41" s="7">
        <f t="shared" si="2"/>
        <v>1</v>
      </c>
      <c r="G41" s="8">
        <f t="shared" si="3"/>
        <v>0.1666666667</v>
      </c>
      <c r="H41" s="7">
        <f>COUNTIFS('Base_Partidos 2026'!C:C,A41,'Base_Partidos 2026'!G:G,"G")</f>
        <v>2</v>
      </c>
      <c r="I41" s="7">
        <f>COUNTIFS('Base_Partidos 2026'!C:C,A41,'Base_Partidos 2026'!G:G,"E")</f>
        <v>2</v>
      </c>
      <c r="J41" s="7">
        <f>COUNTIFS('Base_Partidos 2026'!C:C,A41,'Base_Partidos 2026'!G:G,"P")</f>
        <v>2</v>
      </c>
      <c r="K41" s="9">
        <f t="shared" si="4"/>
        <v>0.4444444444</v>
      </c>
      <c r="L41" s="7">
        <f>COUNTIFS('Base_Partidos 2026'!C:C,A41,'Base_Partidos 2026'!H:H,"SI")</f>
        <v>0</v>
      </c>
      <c r="M41" s="10"/>
      <c r="N41" s="11"/>
      <c r="O41" s="12"/>
    </row>
    <row r="42" ht="14.25" customHeight="1">
      <c r="A42" s="6" t="s">
        <v>55</v>
      </c>
      <c r="B42" s="7">
        <f>COUNTIF('Base_Partidos 2026'!C:C,A42)</f>
        <v>4</v>
      </c>
      <c r="C42" s="7">
        <f>SUMIF('Base_Partidos 2026'!C:C,A42,'Base_Partidos 2026'!E:E)</f>
        <v>0</v>
      </c>
      <c r="D42" s="8">
        <f t="shared" si="1"/>
        <v>0</v>
      </c>
      <c r="E42" s="7">
        <f>SUMIF('Base_Partidos 2026'!C:C,A42,'Base_Partidos 2026'!F:F)</f>
        <v>2</v>
      </c>
      <c r="F42" s="7">
        <f t="shared" si="2"/>
        <v>2</v>
      </c>
      <c r="G42" s="8">
        <f t="shared" si="3"/>
        <v>0.5</v>
      </c>
      <c r="H42" s="7">
        <f>COUNTIFS('Base_Partidos 2026'!C:C,A42,'Base_Partidos 2026'!G:G,"G")</f>
        <v>2</v>
      </c>
      <c r="I42" s="7">
        <f>COUNTIFS('Base_Partidos 2026'!C:C,A42,'Base_Partidos 2026'!G:G,"E")</f>
        <v>0</v>
      </c>
      <c r="J42" s="7">
        <f>COUNTIFS('Base_Partidos 2026'!C:C,A42,'Base_Partidos 2026'!G:G,"P")</f>
        <v>2</v>
      </c>
      <c r="K42" s="9">
        <f t="shared" si="4"/>
        <v>0.5</v>
      </c>
      <c r="L42" s="7">
        <f>COUNTIFS('Base_Partidos 2026'!C:C,A42,'Base_Partidos 2026'!H:H,"SI")</f>
        <v>1</v>
      </c>
      <c r="M42" s="10"/>
      <c r="N42" s="11"/>
      <c r="O42" s="12"/>
    </row>
    <row r="43" ht="14.25" customHeight="1">
      <c r="A43" s="14" t="s">
        <v>56</v>
      </c>
      <c r="B43" s="7">
        <f>COUNTIF('Base_Partidos 2026'!C:C,A43)</f>
        <v>1</v>
      </c>
      <c r="C43" s="7">
        <f>SUMIF('Base_Partidos 2026'!C:C,A43,'Base_Partidos 2026'!E:E)</f>
        <v>0</v>
      </c>
      <c r="D43" s="8">
        <f t="shared" si="1"/>
        <v>0</v>
      </c>
      <c r="E43" s="7">
        <f>SUMIF('Base_Partidos 2026'!C:C,A43,'Base_Partidos 2026'!F:F)</f>
        <v>0</v>
      </c>
      <c r="F43" s="7">
        <f t="shared" si="2"/>
        <v>0</v>
      </c>
      <c r="G43" s="8">
        <f t="shared" si="3"/>
        <v>0</v>
      </c>
      <c r="H43" s="7">
        <f>COUNTIFS('Base_Partidos 2026'!C:C,A43,'Base_Partidos 2026'!G:G,"G")</f>
        <v>0</v>
      </c>
      <c r="I43" s="7">
        <f>COUNTIFS('Base_Partidos 2026'!C:C,A43,'Base_Partidos 2026'!G:G,"E")</f>
        <v>0</v>
      </c>
      <c r="J43" s="7">
        <f>COUNTIFS('Base_Partidos 2026'!C:C,A43,'Base_Partidos 2026'!G:G,"P")</f>
        <v>1</v>
      </c>
      <c r="K43" s="9">
        <f t="shared" si="4"/>
        <v>0</v>
      </c>
      <c r="L43" s="7">
        <f>COUNTIFS('Base_Partidos 2026'!C:C,A43,'Base_Partidos 2026'!H:H,"SI")</f>
        <v>0</v>
      </c>
      <c r="M43" s="10"/>
      <c r="N43" s="11"/>
      <c r="O43" s="12"/>
    </row>
    <row r="44" ht="14.25" customHeight="1">
      <c r="A44" s="6" t="s">
        <v>56</v>
      </c>
      <c r="B44" s="7">
        <f>COUNTIF('Base_Partidos 2026'!C:C,A44)</f>
        <v>1</v>
      </c>
      <c r="C44" s="7">
        <f>SUMIF('Base_Partidos 2026'!C:C,A44,'Base_Partidos 2026'!E:E)</f>
        <v>0</v>
      </c>
      <c r="D44" s="8">
        <f t="shared" si="1"/>
        <v>0</v>
      </c>
      <c r="E44" s="7">
        <f>SUMIF('Base_Partidos 2026'!C:C,A44,'Base_Partidos 2026'!F:F)</f>
        <v>0</v>
      </c>
      <c r="F44" s="7">
        <f t="shared" si="2"/>
        <v>0</v>
      </c>
      <c r="G44" s="8">
        <f t="shared" si="3"/>
        <v>0</v>
      </c>
      <c r="H44" s="7">
        <f>COUNTIFS('Base_Partidos 2026'!C:C,A44,'Base_Partidos 2026'!G:G,"G")</f>
        <v>0</v>
      </c>
      <c r="I44" s="7">
        <f>COUNTIFS('Base_Partidos 2026'!C:C,A44,'Base_Partidos 2026'!G:G,"E")</f>
        <v>0</v>
      </c>
      <c r="J44" s="7">
        <f>COUNTIFS('Base_Partidos 2026'!C:C,A44,'Base_Partidos 2026'!G:G,"P")</f>
        <v>1</v>
      </c>
      <c r="K44" s="9">
        <f t="shared" si="4"/>
        <v>0</v>
      </c>
      <c r="L44" s="7">
        <f>COUNTIFS('Base_Partidos 2026'!C:C,A44,'Base_Partidos 2026'!H:H,"SI")</f>
        <v>0</v>
      </c>
      <c r="M44" s="10"/>
      <c r="N44" s="11"/>
      <c r="O44" s="12"/>
    </row>
    <row r="45" ht="14.25" customHeight="1">
      <c r="A45" s="13" t="s">
        <v>57</v>
      </c>
      <c r="B45" s="7">
        <f>COUNTIF('Base_Partidos 2026'!C:C,A45)</f>
        <v>2</v>
      </c>
      <c r="C45" s="7">
        <f>SUMIF('Base_Partidos 2026'!C:C,A45,'Base_Partidos 2026'!E:E)</f>
        <v>0</v>
      </c>
      <c r="D45" s="8">
        <f t="shared" si="1"/>
        <v>0</v>
      </c>
      <c r="E45" s="7">
        <f>SUMIF('Base_Partidos 2026'!C:C,A45,'Base_Partidos 2026'!F:F)</f>
        <v>0</v>
      </c>
      <c r="F45" s="7">
        <f t="shared" si="2"/>
        <v>0</v>
      </c>
      <c r="G45" s="8">
        <f t="shared" si="3"/>
        <v>0</v>
      </c>
      <c r="H45" s="7">
        <f>COUNTIFS('Base_Partidos 2026'!C:C,A45,'Base_Partidos 2026'!G:G,"G")</f>
        <v>0</v>
      </c>
      <c r="I45" s="7">
        <f>COUNTIFS('Base_Partidos 2026'!C:C,A45,'Base_Partidos 2026'!G:G,"E")</f>
        <v>1</v>
      </c>
      <c r="J45" s="7">
        <f>COUNTIFS('Base_Partidos 2026'!C:C,A45,'Base_Partidos 2026'!G:G,"P")</f>
        <v>1</v>
      </c>
      <c r="K45" s="9">
        <f t="shared" si="4"/>
        <v>0.1666666667</v>
      </c>
      <c r="L45" s="7">
        <f>COUNTIFS('Base_Partidos 2026'!C:C,A45,'Base_Partidos 2026'!H:H,"SI")</f>
        <v>0</v>
      </c>
      <c r="M45" s="10">
        <f t="shared" ref="M45:M46" si="6">N45/B45</f>
        <v>5</v>
      </c>
      <c r="N45" s="11">
        <f>SUMIF('Base_Partidos 2026'!C:C,A45,'Base_Partidos 2026'!I:I)</f>
        <v>10</v>
      </c>
      <c r="O45" s="12"/>
    </row>
    <row r="46" ht="14.25" customHeight="1">
      <c r="A46" s="14" t="s">
        <v>58</v>
      </c>
      <c r="B46" s="7">
        <f>COUNTIF('Base_Partidos 2026'!C:C,A46)</f>
        <v>1</v>
      </c>
      <c r="C46" s="7">
        <f>SUMIF('Base_Partidos 2026'!C:C,A46,'Base_Partidos 2026'!E:E)</f>
        <v>0</v>
      </c>
      <c r="D46" s="8">
        <f t="shared" si="1"/>
        <v>0</v>
      </c>
      <c r="E46" s="7">
        <f>SUMIF('Base_Partidos 2026'!C:C,A46,'Base_Partidos 2026'!F:F)</f>
        <v>0</v>
      </c>
      <c r="F46" s="7">
        <f t="shared" si="2"/>
        <v>0</v>
      </c>
      <c r="G46" s="8">
        <f t="shared" si="3"/>
        <v>0</v>
      </c>
      <c r="H46" s="7">
        <f>COUNTIFS('Base_Partidos 2026'!C:C,A46,'Base_Partidos 2026'!G:G,"G")</f>
        <v>0</v>
      </c>
      <c r="I46" s="7">
        <f>COUNTIFS('Base_Partidos 2026'!C:C,A46,'Base_Partidos 2026'!G:G,"E")</f>
        <v>0</v>
      </c>
      <c r="J46" s="7">
        <f>COUNTIFS('Base_Partidos 2026'!C:C,A46,'Base_Partidos 2026'!G:G,"P")</f>
        <v>1</v>
      </c>
      <c r="K46" s="9">
        <f t="shared" si="4"/>
        <v>0</v>
      </c>
      <c r="L46" s="7">
        <f>COUNTIFS('Base_Partidos 2026'!C:C,A46,'Base_Partidos 2026'!H:H,"SI")</f>
        <v>0</v>
      </c>
      <c r="M46" s="10">
        <f t="shared" si="6"/>
        <v>5</v>
      </c>
      <c r="N46" s="11">
        <f>SUMIF('Base_Partidos 2026'!C:C,A46,'Base_Partidos 2026'!I:I)</f>
        <v>5</v>
      </c>
      <c r="O46" s="12"/>
    </row>
    <row r="47" ht="14.25" customHeight="1">
      <c r="A47" s="6" t="s">
        <v>59</v>
      </c>
      <c r="B47" s="7">
        <f>COUNTIF('Base_Partidos 2026'!C:C,A47)</f>
        <v>1</v>
      </c>
      <c r="C47" s="7">
        <f>SUMIF('Base_Partidos 2026'!C:C,A47,'Base_Partidos 2026'!E:E)</f>
        <v>0</v>
      </c>
      <c r="D47" s="8">
        <f t="shared" si="1"/>
        <v>0</v>
      </c>
      <c r="E47" s="7">
        <f>SUMIF('Base_Partidos 2026'!C:C,A47,'Base_Partidos 2026'!F:F)</f>
        <v>0</v>
      </c>
      <c r="F47" s="7">
        <f t="shared" si="2"/>
        <v>0</v>
      </c>
      <c r="G47" s="8">
        <f t="shared" si="3"/>
        <v>0</v>
      </c>
      <c r="H47" s="7">
        <f>COUNTIFS('Base_Partidos 2026'!C:C,A47,'Base_Partidos 2026'!G:G,"G")</f>
        <v>0</v>
      </c>
      <c r="I47" s="7">
        <f>COUNTIFS('Base_Partidos 2026'!C:C,A47,'Base_Partidos 2026'!G:G,"E")</f>
        <v>0</v>
      </c>
      <c r="J47" s="7">
        <f>COUNTIFS('Base_Partidos 2026'!C:C,A47,'Base_Partidos 2026'!G:G,"P")</f>
        <v>1</v>
      </c>
      <c r="K47" s="9">
        <f t="shared" si="4"/>
        <v>0</v>
      </c>
      <c r="L47" s="7">
        <f>COUNTIFS('Base_Partidos 2026'!C:C,A47,'Base_Partidos 2026'!H:H,"SI")</f>
        <v>0</v>
      </c>
      <c r="M47" s="10"/>
      <c r="N47" s="11"/>
      <c r="O47" s="12"/>
    </row>
    <row r="48" ht="14.25" customHeight="1">
      <c r="A48" s="6" t="s">
        <v>60</v>
      </c>
      <c r="B48" s="7">
        <f>COUNTIF('Base_Partidos 2026'!C:C,A48)</f>
        <v>0</v>
      </c>
      <c r="C48" s="7">
        <f>SUMIF('Base_Partidos 2026'!C:C,A48,'Base_Partidos 2026'!E:E)</f>
        <v>0</v>
      </c>
      <c r="D48" s="8" t="str">
        <f t="shared" si="1"/>
        <v>#DIV/0!</v>
      </c>
      <c r="E48" s="7">
        <f>SUMIF('Base_Partidos 2026'!C:C,A48,'Base_Partidos 2026'!F:F)</f>
        <v>0</v>
      </c>
      <c r="F48" s="7"/>
      <c r="G48" s="7"/>
      <c r="H48" s="7">
        <f>COUNTIFS('Base_Partidos 2026'!C:C,A48,'Base_Partidos 2026'!G:G,"G")</f>
        <v>0</v>
      </c>
      <c r="I48" s="7">
        <f>COUNTIFS('Base_Partidos 2026'!C:C,A48,'Base_Partidos 2026'!G:G,"E")</f>
        <v>0</v>
      </c>
      <c r="J48" s="7">
        <f>COUNTIFS('Base_Partidos 2026'!C:C,A48,'Base_Partidos 2026'!G:G,"P")</f>
        <v>0</v>
      </c>
      <c r="K48" s="9" t="str">
        <f t="shared" si="4"/>
        <v>#DIV/0!</v>
      </c>
      <c r="L48" s="7">
        <f>COUNTIFS('Base_Partidos 2026'!C:C,A48,'Base_Partidos 2026'!H:H,"SI")</f>
        <v>0</v>
      </c>
      <c r="M48" s="11"/>
      <c r="N48" s="11"/>
      <c r="O48" s="12"/>
    </row>
    <row r="49" ht="14.25" customHeight="1">
      <c r="A49" s="14" t="s">
        <v>61</v>
      </c>
      <c r="B49" s="7">
        <f>COUNTIF('Base_Partidos 2026'!C:C,A49)</f>
        <v>4</v>
      </c>
      <c r="C49" s="7">
        <f>SUMIF('Base_Partidos 2026'!C:C,A49,'Base_Partidos 2026'!E:E)</f>
        <v>0</v>
      </c>
      <c r="D49" s="8">
        <f t="shared" si="1"/>
        <v>0</v>
      </c>
      <c r="E49" s="7">
        <f>SUMIF('Base_Partidos 2026'!C:C,A49,'Base_Partidos 2026'!F:F)</f>
        <v>0</v>
      </c>
      <c r="F49" s="7">
        <f t="shared" ref="F49:F50" si="7">C49+E49</f>
        <v>0</v>
      </c>
      <c r="G49" s="8">
        <f t="shared" ref="G49:G50" si="8">F49/B49</f>
        <v>0</v>
      </c>
      <c r="H49" s="7">
        <f>COUNTIFS('Base_Partidos 2026'!C:C,A49,'Base_Partidos 2026'!G:G,"G")</f>
        <v>2</v>
      </c>
      <c r="I49" s="7">
        <f>COUNTIFS('Base_Partidos 2026'!C:C,A49,'Base_Partidos 2026'!G:G,"E")</f>
        <v>2</v>
      </c>
      <c r="J49" s="7">
        <f>COUNTIFS('Base_Partidos 2026'!C:C,A49,'Base_Partidos 2026'!G:G,"P")</f>
        <v>0</v>
      </c>
      <c r="K49" s="9">
        <f t="shared" si="4"/>
        <v>0.6666666667</v>
      </c>
      <c r="L49" s="7">
        <f>COUNTIFS('Base_Partidos 2026'!C:C,A49,'Base_Partidos 2026'!H:H,"SI")</f>
        <v>0</v>
      </c>
      <c r="M49" s="10">
        <f>N49/B49</f>
        <v>3</v>
      </c>
      <c r="N49" s="11">
        <f>SUMIF('Base_Partidos 2026'!C:C,A49,'Base_Partidos 2026'!I:I)</f>
        <v>12</v>
      </c>
      <c r="O49" s="12"/>
    </row>
    <row r="50" ht="14.25" customHeight="1">
      <c r="A50" s="13" t="s">
        <v>62</v>
      </c>
      <c r="B50" s="7">
        <f>COUNTIF('Base_Partidos 2026'!C:C,A50)</f>
        <v>3</v>
      </c>
      <c r="C50" s="7">
        <f>SUMIF('Base_Partidos 2026'!C:C,A50,'Base_Partidos 2026'!E:E)</f>
        <v>0</v>
      </c>
      <c r="D50" s="8">
        <f t="shared" si="1"/>
        <v>0</v>
      </c>
      <c r="E50" s="7">
        <f>SUMIF('Base_Partidos 2026'!C:C,A50,'Base_Partidos 2026'!F:F)</f>
        <v>0</v>
      </c>
      <c r="F50" s="7">
        <f t="shared" si="7"/>
        <v>0</v>
      </c>
      <c r="G50" s="8">
        <f t="shared" si="8"/>
        <v>0</v>
      </c>
      <c r="H50" s="7">
        <f>COUNTIFS('Base_Partidos 2026'!C:C,A50,'Base_Partidos 2026'!G:G,"G")</f>
        <v>1</v>
      </c>
      <c r="I50" s="7">
        <f>COUNTIFS('Base_Partidos 2026'!C:C,A50,'Base_Partidos 2026'!G:G,"E")</f>
        <v>1</v>
      </c>
      <c r="J50" s="7">
        <f>COUNTIFS('Base_Partidos 2026'!C:C,A50,'Base_Partidos 2026'!G:G,"P")</f>
        <v>1</v>
      </c>
      <c r="K50" s="9">
        <f t="shared" si="4"/>
        <v>0.4444444444</v>
      </c>
      <c r="L50" s="7">
        <f>COUNTIFS('Base_Partidos 2026'!C:C,A50,'Base_Partidos 2026'!H:H,"SI")</f>
        <v>0</v>
      </c>
      <c r="M50" s="10"/>
      <c r="N50" s="11"/>
      <c r="O50" s="12"/>
    </row>
    <row r="51" ht="14.25" customHeight="1">
      <c r="A51" s="6" t="s">
        <v>63</v>
      </c>
      <c r="B51" s="7">
        <f>COUNTIF('Base_Partidos 2026'!C:C,A51)</f>
        <v>0</v>
      </c>
      <c r="C51" s="7">
        <f>SUMIF('Base_Partidos 2026'!C:C,A51,'Base_Partidos 2026'!E:E)</f>
        <v>0</v>
      </c>
      <c r="D51" s="8" t="str">
        <f t="shared" si="1"/>
        <v>#DIV/0!</v>
      </c>
      <c r="E51" s="7">
        <f>SUMIF('Base_Partidos 2026'!C:C,A51,'Base_Partidos 2026'!F:F)</f>
        <v>0</v>
      </c>
      <c r="F51" s="7"/>
      <c r="G51" s="7"/>
      <c r="H51" s="7">
        <f>COUNTIFS('Base_Partidos 2026'!C:C,A51,'Base_Partidos 2026'!G:G,"G")</f>
        <v>0</v>
      </c>
      <c r="I51" s="7">
        <f>COUNTIFS('Base_Partidos 2026'!C:C,A51,'Base_Partidos 2026'!G:G,"E")</f>
        <v>0</v>
      </c>
      <c r="J51" s="7">
        <f>COUNTIFS('Base_Partidos 2026'!C:C,A51,'Base_Partidos 2026'!G:G,"P")</f>
        <v>0</v>
      </c>
      <c r="K51" s="9" t="str">
        <f t="shared" si="4"/>
        <v>#DIV/0!</v>
      </c>
      <c r="L51" s="7">
        <f>COUNTIFS('Base_Partidos 2026'!C:C,A51,'Base_Partidos 2026'!H:H,"SI")</f>
        <v>0</v>
      </c>
      <c r="M51" s="11"/>
      <c r="N51" s="11"/>
      <c r="O51" s="12"/>
    </row>
    <row r="52" ht="14.25" customHeight="1">
      <c r="A52" s="6" t="s">
        <v>64</v>
      </c>
      <c r="B52" s="7">
        <f>COUNTIF('Base_Partidos 2026'!C:C,A52)</f>
        <v>0</v>
      </c>
      <c r="C52" s="7">
        <f>SUMIF('Base_Partidos 2026'!C:C,A52,'Base_Partidos 2026'!E:E)</f>
        <v>0</v>
      </c>
      <c r="D52" s="8" t="str">
        <f t="shared" si="1"/>
        <v>#DIV/0!</v>
      </c>
      <c r="E52" s="7">
        <f>SUMIF('Base_Partidos 2026'!C:C,A52,'Base_Partidos 2026'!F:F)</f>
        <v>0</v>
      </c>
      <c r="F52" s="7"/>
      <c r="G52" s="7"/>
      <c r="H52" s="7">
        <f>COUNTIFS('Base_Partidos 2026'!C:C,A52,'Base_Partidos 2026'!G:G,"G")</f>
        <v>0</v>
      </c>
      <c r="I52" s="7">
        <f>COUNTIFS('Base_Partidos 2026'!C:C,A52,'Base_Partidos 2026'!G:G,"E")</f>
        <v>0</v>
      </c>
      <c r="J52" s="7">
        <f>COUNTIFS('Base_Partidos 2026'!C:C,A52,'Base_Partidos 2026'!G:G,"P")</f>
        <v>0</v>
      </c>
      <c r="K52" s="9" t="str">
        <f t="shared" si="4"/>
        <v>#DIV/0!</v>
      </c>
      <c r="L52" s="7">
        <f>COUNTIFS('Base_Partidos 2026'!C:C,A52,'Base_Partidos 2026'!H:H,"SI")</f>
        <v>0</v>
      </c>
      <c r="M52" s="11"/>
      <c r="N52" s="11"/>
      <c r="O52" s="12"/>
    </row>
    <row r="53" ht="14.25" customHeight="1">
      <c r="D53" s="15"/>
      <c r="G53" s="15"/>
      <c r="K53" s="16"/>
      <c r="M53" s="15"/>
    </row>
    <row r="54" ht="14.25" customHeight="1">
      <c r="D54" s="15"/>
      <c r="G54" s="15"/>
      <c r="K54" s="16"/>
      <c r="M54" s="15"/>
    </row>
    <row r="55" ht="14.25" customHeight="1">
      <c r="D55" s="15"/>
      <c r="G55" s="15"/>
      <c r="K55" s="16"/>
      <c r="M55" s="15"/>
    </row>
    <row r="56" ht="14.25" customHeight="1">
      <c r="D56" s="15"/>
      <c r="G56" s="15"/>
      <c r="K56" s="16"/>
      <c r="M56" s="15"/>
    </row>
    <row r="57" ht="14.25" customHeight="1">
      <c r="D57" s="15"/>
      <c r="G57" s="15"/>
      <c r="K57" s="16"/>
      <c r="M57" s="15"/>
    </row>
    <row r="58" ht="14.25" customHeight="1">
      <c r="D58" s="15"/>
      <c r="G58" s="15"/>
      <c r="K58" s="16"/>
      <c r="M58" s="15"/>
    </row>
    <row r="59" ht="14.25" customHeight="1">
      <c r="D59" s="15"/>
      <c r="G59" s="15"/>
      <c r="K59" s="16"/>
      <c r="M59" s="15"/>
    </row>
    <row r="60" ht="14.25" customHeight="1">
      <c r="D60" s="15"/>
      <c r="G60" s="15"/>
      <c r="K60" s="16"/>
      <c r="M60" s="15"/>
    </row>
    <row r="61" ht="14.25" customHeight="1">
      <c r="D61" s="15"/>
      <c r="G61" s="15"/>
      <c r="K61" s="16"/>
      <c r="M61" s="15"/>
    </row>
    <row r="62" ht="14.25" customHeight="1">
      <c r="D62" s="15"/>
      <c r="G62" s="15"/>
      <c r="K62" s="16"/>
      <c r="M62" s="15"/>
    </row>
    <row r="63" ht="14.25" customHeight="1">
      <c r="D63" s="15"/>
      <c r="G63" s="15"/>
      <c r="K63" s="16"/>
      <c r="M63" s="15"/>
    </row>
    <row r="64" ht="14.25" customHeight="1">
      <c r="D64" s="15"/>
      <c r="G64" s="15"/>
      <c r="K64" s="16"/>
      <c r="M64" s="15"/>
    </row>
    <row r="65" ht="14.25" customHeight="1">
      <c r="D65" s="15"/>
      <c r="G65" s="15"/>
      <c r="K65" s="16"/>
      <c r="M65" s="15"/>
    </row>
    <row r="66" ht="14.25" customHeight="1">
      <c r="D66" s="15"/>
      <c r="G66" s="15"/>
      <c r="K66" s="16"/>
      <c r="M66" s="15"/>
    </row>
    <row r="67" ht="14.25" customHeight="1">
      <c r="D67" s="15"/>
      <c r="G67" s="15"/>
      <c r="K67" s="16"/>
      <c r="M67" s="15"/>
    </row>
    <row r="68" ht="14.25" customHeight="1">
      <c r="D68" s="15"/>
      <c r="G68" s="15"/>
      <c r="K68" s="16"/>
      <c r="M68" s="15"/>
    </row>
    <row r="69" ht="14.25" customHeight="1">
      <c r="D69" s="15"/>
      <c r="G69" s="15"/>
      <c r="K69" s="16"/>
      <c r="M69" s="15"/>
    </row>
    <row r="70" ht="14.25" customHeight="1">
      <c r="D70" s="15"/>
      <c r="G70" s="15"/>
      <c r="K70" s="16"/>
      <c r="M70" s="15"/>
    </row>
    <row r="71" ht="14.25" customHeight="1">
      <c r="D71" s="15"/>
      <c r="G71" s="15"/>
      <c r="K71" s="16"/>
      <c r="M71" s="15"/>
    </row>
    <row r="72" ht="14.25" customHeight="1">
      <c r="D72" s="15"/>
      <c r="G72" s="15"/>
      <c r="K72" s="16"/>
      <c r="M72" s="15"/>
    </row>
    <row r="73" ht="14.25" customHeight="1">
      <c r="D73" s="15"/>
      <c r="G73" s="15"/>
      <c r="K73" s="16"/>
      <c r="M73" s="15"/>
    </row>
    <row r="74" ht="14.25" customHeight="1">
      <c r="D74" s="15"/>
      <c r="G74" s="15"/>
      <c r="K74" s="16"/>
      <c r="M74" s="15"/>
    </row>
    <row r="75" ht="14.25" customHeight="1">
      <c r="D75" s="15"/>
      <c r="G75" s="15"/>
      <c r="K75" s="16"/>
      <c r="M75" s="15"/>
    </row>
    <row r="76" ht="14.25" customHeight="1">
      <c r="D76" s="15"/>
      <c r="G76" s="15"/>
      <c r="K76" s="16"/>
      <c r="M76" s="15"/>
    </row>
    <row r="77" ht="14.25" customHeight="1">
      <c r="D77" s="15"/>
      <c r="G77" s="15"/>
      <c r="K77" s="16"/>
      <c r="M77" s="15"/>
    </row>
    <row r="78" ht="14.25" customHeight="1">
      <c r="D78" s="15"/>
      <c r="G78" s="15"/>
      <c r="K78" s="16"/>
      <c r="M78" s="15"/>
    </row>
    <row r="79" ht="14.25" customHeight="1">
      <c r="D79" s="15"/>
      <c r="G79" s="15"/>
      <c r="K79" s="16"/>
      <c r="M79" s="15"/>
    </row>
    <row r="80" ht="14.25" customHeight="1">
      <c r="D80" s="15"/>
      <c r="G80" s="15"/>
      <c r="K80" s="16"/>
      <c r="M80" s="15"/>
    </row>
    <row r="81" ht="14.25" customHeight="1">
      <c r="D81" s="15"/>
      <c r="G81" s="15"/>
      <c r="K81" s="16"/>
      <c r="M81" s="15"/>
    </row>
    <row r="82" ht="14.25" customHeight="1">
      <c r="D82" s="15"/>
      <c r="G82" s="15"/>
      <c r="K82" s="16"/>
      <c r="M82" s="15"/>
    </row>
    <row r="83" ht="14.25" customHeight="1">
      <c r="D83" s="15"/>
      <c r="G83" s="15"/>
      <c r="K83" s="16"/>
      <c r="M83" s="15"/>
    </row>
    <row r="84" ht="14.25" customHeight="1">
      <c r="D84" s="15"/>
      <c r="G84" s="15"/>
      <c r="K84" s="16"/>
      <c r="M84" s="15"/>
    </row>
    <row r="85" ht="14.25" customHeight="1">
      <c r="D85" s="15"/>
      <c r="G85" s="15"/>
      <c r="K85" s="16"/>
      <c r="M85" s="15"/>
    </row>
    <row r="86" ht="14.25" customHeight="1">
      <c r="D86" s="15"/>
      <c r="G86" s="15"/>
      <c r="K86" s="16"/>
      <c r="M86" s="15"/>
    </row>
    <row r="87" ht="14.25" customHeight="1">
      <c r="D87" s="15"/>
      <c r="G87" s="15"/>
      <c r="K87" s="16"/>
      <c r="M87" s="15"/>
    </row>
    <row r="88" ht="14.25" customHeight="1">
      <c r="D88" s="15"/>
      <c r="G88" s="15"/>
      <c r="K88" s="16"/>
      <c r="M88" s="15"/>
    </row>
    <row r="89" ht="14.25" customHeight="1">
      <c r="D89" s="15"/>
      <c r="G89" s="15"/>
      <c r="K89" s="16"/>
      <c r="M89" s="15"/>
    </row>
    <row r="90" ht="14.25" customHeight="1">
      <c r="D90" s="15"/>
      <c r="G90" s="15"/>
      <c r="K90" s="16"/>
      <c r="M90" s="15"/>
    </row>
    <row r="91" ht="14.25" customHeight="1">
      <c r="D91" s="15"/>
      <c r="G91" s="15"/>
      <c r="K91" s="16"/>
      <c r="M91" s="15"/>
    </row>
    <row r="92" ht="14.25" customHeight="1">
      <c r="D92" s="15"/>
      <c r="G92" s="15"/>
      <c r="K92" s="16"/>
      <c r="M92" s="15"/>
    </row>
    <row r="93" ht="14.25" customHeight="1">
      <c r="D93" s="15"/>
      <c r="G93" s="15"/>
      <c r="K93" s="16"/>
      <c r="M93" s="15"/>
    </row>
    <row r="94" ht="14.25" customHeight="1">
      <c r="D94" s="15"/>
      <c r="G94" s="15"/>
      <c r="K94" s="16"/>
      <c r="M94" s="15"/>
    </row>
    <row r="95" ht="14.25" customHeight="1">
      <c r="D95" s="15"/>
      <c r="G95" s="15"/>
      <c r="K95" s="16"/>
      <c r="M95" s="15"/>
    </row>
    <row r="96" ht="14.25" customHeight="1">
      <c r="D96" s="15"/>
      <c r="G96" s="15"/>
      <c r="K96" s="16"/>
      <c r="M96" s="15"/>
    </row>
    <row r="97" ht="14.25" customHeight="1">
      <c r="D97" s="15"/>
      <c r="G97" s="15"/>
      <c r="K97" s="16"/>
      <c r="M97" s="15"/>
    </row>
    <row r="98" ht="14.25" customHeight="1">
      <c r="D98" s="15"/>
      <c r="G98" s="15"/>
      <c r="K98" s="16"/>
      <c r="M98" s="15"/>
    </row>
    <row r="99" ht="14.25" customHeight="1">
      <c r="D99" s="15"/>
      <c r="G99" s="15"/>
      <c r="K99" s="16"/>
      <c r="M99" s="15"/>
    </row>
    <row r="100" ht="14.25" customHeight="1">
      <c r="D100" s="15"/>
      <c r="G100" s="15"/>
      <c r="K100" s="16"/>
      <c r="M100" s="15"/>
    </row>
    <row r="101" ht="14.25" customHeight="1">
      <c r="D101" s="15"/>
      <c r="G101" s="15"/>
      <c r="K101" s="16"/>
      <c r="M101" s="15"/>
    </row>
    <row r="102" ht="14.25" customHeight="1">
      <c r="D102" s="15"/>
      <c r="G102" s="15"/>
      <c r="K102" s="16"/>
      <c r="M102" s="15"/>
    </row>
    <row r="103" ht="14.25" customHeight="1">
      <c r="D103" s="15"/>
      <c r="G103" s="15"/>
      <c r="K103" s="16"/>
      <c r="M103" s="15"/>
    </row>
    <row r="104" ht="14.25" customHeight="1">
      <c r="D104" s="15"/>
      <c r="G104" s="15"/>
      <c r="K104" s="16"/>
      <c r="M104" s="15"/>
    </row>
    <row r="105" ht="14.25" customHeight="1">
      <c r="D105" s="15"/>
      <c r="G105" s="15"/>
      <c r="K105" s="16"/>
      <c r="M105" s="15"/>
    </row>
    <row r="106" ht="14.25" customHeight="1">
      <c r="D106" s="15"/>
      <c r="G106" s="15"/>
      <c r="K106" s="16"/>
      <c r="M106" s="15"/>
    </row>
    <row r="107" ht="14.25" customHeight="1">
      <c r="D107" s="15"/>
      <c r="G107" s="15"/>
      <c r="K107" s="16"/>
      <c r="M107" s="15"/>
    </row>
    <row r="108" ht="14.25" customHeight="1">
      <c r="D108" s="15"/>
      <c r="G108" s="15"/>
      <c r="K108" s="16"/>
      <c r="M108" s="15"/>
    </row>
    <row r="109" ht="14.25" customHeight="1">
      <c r="D109" s="15"/>
      <c r="G109" s="15"/>
      <c r="K109" s="16"/>
      <c r="M109" s="15"/>
    </row>
    <row r="110" ht="14.25" customHeight="1">
      <c r="D110" s="15"/>
      <c r="G110" s="15"/>
      <c r="K110" s="16"/>
      <c r="M110" s="15"/>
    </row>
    <row r="111" ht="14.25" customHeight="1">
      <c r="D111" s="15"/>
      <c r="G111" s="15"/>
      <c r="K111" s="16"/>
      <c r="M111" s="15"/>
    </row>
    <row r="112" ht="14.25" customHeight="1">
      <c r="D112" s="15"/>
      <c r="G112" s="15"/>
      <c r="K112" s="16"/>
      <c r="M112" s="15"/>
    </row>
    <row r="113" ht="14.25" customHeight="1">
      <c r="D113" s="15"/>
      <c r="G113" s="15"/>
      <c r="K113" s="16"/>
      <c r="M113" s="15"/>
    </row>
    <row r="114" ht="14.25" customHeight="1">
      <c r="D114" s="15"/>
      <c r="G114" s="15"/>
      <c r="K114" s="16"/>
      <c r="M114" s="15"/>
    </row>
    <row r="115" ht="14.25" customHeight="1">
      <c r="D115" s="15"/>
      <c r="G115" s="15"/>
      <c r="K115" s="16"/>
      <c r="M115" s="15"/>
    </row>
    <row r="116" ht="14.25" customHeight="1">
      <c r="D116" s="15"/>
      <c r="G116" s="15"/>
      <c r="K116" s="16"/>
      <c r="M116" s="15"/>
    </row>
    <row r="117" ht="14.25" customHeight="1">
      <c r="D117" s="15"/>
      <c r="G117" s="15"/>
      <c r="K117" s="16"/>
      <c r="M117" s="15"/>
    </row>
    <row r="118" ht="14.25" customHeight="1">
      <c r="D118" s="15"/>
      <c r="G118" s="15"/>
      <c r="K118" s="16"/>
      <c r="M118" s="15"/>
    </row>
    <row r="119" ht="14.25" customHeight="1">
      <c r="D119" s="15"/>
      <c r="G119" s="15"/>
      <c r="K119" s="16"/>
      <c r="M119" s="15"/>
    </row>
    <row r="120" ht="14.25" customHeight="1">
      <c r="D120" s="15"/>
      <c r="G120" s="15"/>
      <c r="K120" s="16"/>
      <c r="M120" s="15"/>
    </row>
    <row r="121" ht="14.25" customHeight="1">
      <c r="D121" s="15"/>
      <c r="G121" s="15"/>
      <c r="K121" s="16"/>
      <c r="M121" s="15"/>
    </row>
    <row r="122" ht="14.25" customHeight="1">
      <c r="D122" s="15"/>
      <c r="G122" s="15"/>
      <c r="K122" s="16"/>
      <c r="M122" s="15"/>
    </row>
    <row r="123" ht="14.25" customHeight="1">
      <c r="D123" s="15"/>
      <c r="G123" s="15"/>
      <c r="K123" s="16"/>
      <c r="M123" s="15"/>
    </row>
    <row r="124" ht="14.25" customHeight="1">
      <c r="D124" s="15"/>
      <c r="G124" s="15"/>
      <c r="K124" s="16"/>
      <c r="M124" s="15"/>
    </row>
    <row r="125" ht="14.25" customHeight="1">
      <c r="D125" s="15"/>
      <c r="G125" s="15"/>
      <c r="K125" s="16"/>
      <c r="M125" s="15"/>
    </row>
    <row r="126" ht="14.25" customHeight="1">
      <c r="D126" s="15"/>
      <c r="G126" s="15"/>
      <c r="K126" s="16"/>
      <c r="M126" s="15"/>
    </row>
    <row r="127" ht="14.25" customHeight="1">
      <c r="D127" s="15"/>
      <c r="G127" s="15"/>
      <c r="K127" s="16"/>
      <c r="M127" s="15"/>
    </row>
    <row r="128" ht="14.25" customHeight="1">
      <c r="D128" s="15"/>
      <c r="G128" s="15"/>
      <c r="K128" s="16"/>
      <c r="M128" s="15"/>
    </row>
    <row r="129" ht="14.25" customHeight="1">
      <c r="D129" s="15"/>
      <c r="G129" s="15"/>
      <c r="K129" s="16"/>
      <c r="M129" s="15"/>
    </row>
    <row r="130" ht="14.25" customHeight="1">
      <c r="D130" s="15"/>
      <c r="G130" s="15"/>
      <c r="K130" s="16"/>
      <c r="M130" s="15"/>
    </row>
    <row r="131" ht="14.25" customHeight="1">
      <c r="D131" s="15"/>
      <c r="G131" s="15"/>
      <c r="K131" s="16"/>
      <c r="M131" s="15"/>
    </row>
    <row r="132" ht="14.25" customHeight="1">
      <c r="D132" s="15"/>
      <c r="G132" s="15"/>
      <c r="K132" s="16"/>
      <c r="M132" s="15"/>
    </row>
    <row r="133" ht="14.25" customHeight="1">
      <c r="D133" s="15"/>
      <c r="G133" s="15"/>
      <c r="K133" s="16"/>
      <c r="M133" s="15"/>
    </row>
    <row r="134" ht="14.25" customHeight="1">
      <c r="D134" s="15"/>
      <c r="G134" s="15"/>
      <c r="K134" s="16"/>
      <c r="M134" s="15"/>
    </row>
    <row r="135" ht="14.25" customHeight="1">
      <c r="D135" s="15"/>
      <c r="G135" s="15"/>
      <c r="K135" s="16"/>
      <c r="M135" s="15"/>
    </row>
    <row r="136" ht="14.25" customHeight="1">
      <c r="D136" s="15"/>
      <c r="G136" s="15"/>
      <c r="K136" s="16"/>
      <c r="M136" s="15"/>
    </row>
    <row r="137" ht="14.25" customHeight="1">
      <c r="D137" s="15"/>
      <c r="G137" s="15"/>
      <c r="K137" s="16"/>
      <c r="M137" s="15"/>
    </row>
    <row r="138" ht="14.25" customHeight="1">
      <c r="D138" s="15"/>
      <c r="G138" s="15"/>
      <c r="K138" s="16"/>
      <c r="M138" s="15"/>
    </row>
    <row r="139" ht="14.25" customHeight="1">
      <c r="D139" s="15"/>
      <c r="G139" s="15"/>
      <c r="K139" s="16"/>
      <c r="M139" s="15"/>
    </row>
    <row r="140" ht="14.25" customHeight="1">
      <c r="D140" s="15"/>
      <c r="G140" s="15"/>
      <c r="K140" s="16"/>
      <c r="M140" s="15"/>
    </row>
    <row r="141" ht="14.25" customHeight="1">
      <c r="D141" s="15"/>
      <c r="G141" s="15"/>
      <c r="K141" s="16"/>
      <c r="M141" s="15"/>
    </row>
    <row r="142" ht="14.25" customHeight="1">
      <c r="D142" s="15"/>
      <c r="G142" s="15"/>
      <c r="K142" s="16"/>
      <c r="M142" s="15"/>
    </row>
    <row r="143" ht="14.25" customHeight="1">
      <c r="D143" s="15"/>
      <c r="G143" s="15"/>
      <c r="K143" s="16"/>
      <c r="M143" s="15"/>
    </row>
    <row r="144" ht="14.25" customHeight="1">
      <c r="D144" s="15"/>
      <c r="G144" s="15"/>
      <c r="K144" s="16"/>
      <c r="M144" s="15"/>
    </row>
    <row r="145" ht="14.25" customHeight="1">
      <c r="D145" s="15"/>
      <c r="G145" s="15"/>
      <c r="K145" s="16"/>
      <c r="M145" s="15"/>
    </row>
    <row r="146" ht="14.25" customHeight="1">
      <c r="D146" s="15"/>
      <c r="G146" s="15"/>
      <c r="K146" s="16"/>
      <c r="M146" s="15"/>
    </row>
    <row r="147" ht="14.25" customHeight="1">
      <c r="D147" s="15"/>
      <c r="G147" s="15"/>
      <c r="K147" s="16"/>
      <c r="M147" s="15"/>
    </row>
    <row r="148" ht="14.25" customHeight="1">
      <c r="D148" s="15"/>
      <c r="G148" s="15"/>
      <c r="K148" s="16"/>
      <c r="M148" s="15"/>
    </row>
    <row r="149" ht="14.25" customHeight="1">
      <c r="D149" s="15"/>
      <c r="G149" s="15"/>
      <c r="K149" s="16"/>
      <c r="M149" s="15"/>
    </row>
    <row r="150" ht="14.25" customHeight="1">
      <c r="D150" s="15"/>
      <c r="G150" s="15"/>
      <c r="K150" s="16"/>
      <c r="M150" s="15"/>
    </row>
    <row r="151" ht="14.25" customHeight="1">
      <c r="D151" s="15"/>
      <c r="G151" s="15"/>
      <c r="K151" s="16"/>
      <c r="M151" s="15"/>
    </row>
    <row r="152" ht="14.25" customHeight="1">
      <c r="D152" s="15"/>
      <c r="G152" s="15"/>
      <c r="K152" s="16"/>
      <c r="M152" s="15"/>
    </row>
    <row r="153" ht="14.25" customHeight="1">
      <c r="D153" s="15"/>
      <c r="G153" s="15"/>
      <c r="K153" s="16"/>
      <c r="M153" s="15"/>
    </row>
    <row r="154" ht="14.25" customHeight="1">
      <c r="D154" s="15"/>
      <c r="G154" s="15"/>
      <c r="K154" s="16"/>
      <c r="M154" s="15"/>
    </row>
    <row r="155" ht="14.25" customHeight="1">
      <c r="D155" s="15"/>
      <c r="G155" s="15"/>
      <c r="K155" s="16"/>
      <c r="M155" s="15"/>
    </row>
    <row r="156" ht="14.25" customHeight="1">
      <c r="D156" s="15"/>
      <c r="G156" s="15"/>
      <c r="K156" s="16"/>
      <c r="M156" s="15"/>
    </row>
    <row r="157" ht="14.25" customHeight="1">
      <c r="D157" s="15"/>
      <c r="G157" s="15"/>
      <c r="K157" s="16"/>
      <c r="M157" s="15"/>
    </row>
    <row r="158" ht="14.25" customHeight="1">
      <c r="D158" s="15"/>
      <c r="G158" s="15"/>
      <c r="K158" s="16"/>
      <c r="M158" s="15"/>
    </row>
    <row r="159" ht="14.25" customHeight="1">
      <c r="D159" s="15"/>
      <c r="G159" s="15"/>
      <c r="K159" s="16"/>
      <c r="M159" s="15"/>
    </row>
    <row r="160" ht="14.25" customHeight="1">
      <c r="D160" s="15"/>
      <c r="G160" s="15"/>
      <c r="K160" s="16"/>
      <c r="M160" s="15"/>
    </row>
    <row r="161" ht="14.25" customHeight="1">
      <c r="D161" s="15"/>
      <c r="G161" s="15"/>
      <c r="K161" s="16"/>
      <c r="M161" s="15"/>
    </row>
    <row r="162" ht="14.25" customHeight="1">
      <c r="D162" s="15"/>
      <c r="G162" s="15"/>
      <c r="K162" s="16"/>
      <c r="M162" s="15"/>
    </row>
    <row r="163" ht="14.25" customHeight="1">
      <c r="D163" s="15"/>
      <c r="G163" s="15"/>
      <c r="K163" s="16"/>
      <c r="M163" s="15"/>
    </row>
    <row r="164" ht="14.25" customHeight="1">
      <c r="D164" s="15"/>
      <c r="G164" s="15"/>
      <c r="K164" s="16"/>
      <c r="M164" s="15"/>
    </row>
    <row r="165" ht="14.25" customHeight="1">
      <c r="D165" s="15"/>
      <c r="G165" s="15"/>
      <c r="K165" s="16"/>
      <c r="M165" s="15"/>
    </row>
    <row r="166" ht="14.25" customHeight="1">
      <c r="D166" s="15"/>
      <c r="G166" s="15"/>
      <c r="K166" s="16"/>
      <c r="M166" s="15"/>
    </row>
    <row r="167" ht="14.25" customHeight="1">
      <c r="D167" s="15"/>
      <c r="G167" s="15"/>
      <c r="K167" s="16"/>
      <c r="M167" s="15"/>
    </row>
    <row r="168" ht="14.25" customHeight="1">
      <c r="D168" s="15"/>
      <c r="G168" s="15"/>
      <c r="K168" s="16"/>
      <c r="M168" s="15"/>
    </row>
    <row r="169" ht="14.25" customHeight="1">
      <c r="D169" s="15"/>
      <c r="G169" s="15"/>
      <c r="K169" s="16"/>
      <c r="M169" s="15"/>
    </row>
    <row r="170" ht="14.25" customHeight="1">
      <c r="D170" s="15"/>
      <c r="G170" s="15"/>
      <c r="K170" s="16"/>
      <c r="M170" s="15"/>
    </row>
    <row r="171" ht="14.25" customHeight="1">
      <c r="D171" s="15"/>
      <c r="G171" s="15"/>
      <c r="K171" s="16"/>
      <c r="M171" s="15"/>
    </row>
    <row r="172" ht="14.25" customHeight="1">
      <c r="D172" s="15"/>
      <c r="G172" s="15"/>
      <c r="K172" s="16"/>
      <c r="M172" s="15"/>
    </row>
    <row r="173" ht="14.25" customHeight="1">
      <c r="D173" s="15"/>
      <c r="G173" s="15"/>
      <c r="K173" s="16"/>
      <c r="M173" s="15"/>
    </row>
    <row r="174" ht="14.25" customHeight="1">
      <c r="D174" s="15"/>
      <c r="G174" s="15"/>
      <c r="K174" s="16"/>
      <c r="M174" s="15"/>
    </row>
    <row r="175" ht="14.25" customHeight="1">
      <c r="D175" s="15"/>
      <c r="G175" s="15"/>
      <c r="K175" s="16"/>
      <c r="M175" s="15"/>
    </row>
    <row r="176" ht="14.25" customHeight="1">
      <c r="D176" s="15"/>
      <c r="G176" s="15"/>
      <c r="K176" s="16"/>
      <c r="M176" s="15"/>
    </row>
    <row r="177" ht="14.25" customHeight="1">
      <c r="D177" s="15"/>
      <c r="G177" s="15"/>
      <c r="K177" s="16"/>
      <c r="M177" s="15"/>
    </row>
    <row r="178" ht="14.25" customHeight="1">
      <c r="D178" s="15"/>
      <c r="G178" s="15"/>
      <c r="K178" s="16"/>
      <c r="M178" s="15"/>
    </row>
    <row r="179" ht="14.25" customHeight="1">
      <c r="D179" s="15"/>
      <c r="G179" s="15"/>
      <c r="K179" s="16"/>
      <c r="M179" s="15"/>
    </row>
    <row r="180" ht="14.25" customHeight="1">
      <c r="D180" s="15"/>
      <c r="G180" s="15"/>
      <c r="K180" s="16"/>
      <c r="M180" s="15"/>
    </row>
    <row r="181" ht="14.25" customHeight="1">
      <c r="D181" s="15"/>
      <c r="G181" s="15"/>
      <c r="K181" s="16"/>
      <c r="M181" s="15"/>
    </row>
    <row r="182" ht="14.25" customHeight="1">
      <c r="D182" s="15"/>
      <c r="G182" s="15"/>
      <c r="K182" s="16"/>
      <c r="M182" s="15"/>
    </row>
    <row r="183" ht="14.25" customHeight="1">
      <c r="D183" s="15"/>
      <c r="G183" s="15"/>
      <c r="K183" s="16"/>
      <c r="M183" s="15"/>
    </row>
    <row r="184" ht="14.25" customHeight="1">
      <c r="D184" s="15"/>
      <c r="G184" s="15"/>
      <c r="K184" s="16"/>
      <c r="M184" s="15"/>
    </row>
    <row r="185" ht="14.25" customHeight="1">
      <c r="D185" s="15"/>
      <c r="G185" s="15"/>
      <c r="K185" s="16"/>
      <c r="M185" s="15"/>
    </row>
    <row r="186" ht="14.25" customHeight="1">
      <c r="D186" s="15"/>
      <c r="G186" s="15"/>
      <c r="K186" s="16"/>
      <c r="M186" s="15"/>
    </row>
    <row r="187" ht="14.25" customHeight="1">
      <c r="D187" s="15"/>
      <c r="G187" s="15"/>
      <c r="K187" s="16"/>
      <c r="M187" s="15"/>
    </row>
    <row r="188" ht="14.25" customHeight="1">
      <c r="D188" s="15"/>
      <c r="G188" s="15"/>
      <c r="K188" s="16"/>
      <c r="M188" s="15"/>
    </row>
    <row r="189" ht="14.25" customHeight="1">
      <c r="D189" s="15"/>
      <c r="G189" s="15"/>
      <c r="K189" s="16"/>
      <c r="M189" s="15"/>
    </row>
    <row r="190" ht="14.25" customHeight="1">
      <c r="D190" s="15"/>
      <c r="G190" s="15"/>
      <c r="K190" s="16"/>
      <c r="M190" s="15"/>
    </row>
    <row r="191" ht="14.25" customHeight="1">
      <c r="D191" s="15"/>
      <c r="G191" s="15"/>
      <c r="K191" s="16"/>
      <c r="M191" s="15"/>
    </row>
    <row r="192" ht="14.25" customHeight="1">
      <c r="D192" s="15"/>
      <c r="G192" s="15"/>
      <c r="K192" s="16"/>
      <c r="M192" s="15"/>
    </row>
    <row r="193" ht="14.25" customHeight="1">
      <c r="D193" s="15"/>
      <c r="G193" s="15"/>
      <c r="K193" s="16"/>
      <c r="M193" s="15"/>
    </row>
    <row r="194" ht="14.25" customHeight="1">
      <c r="D194" s="15"/>
      <c r="G194" s="15"/>
      <c r="K194" s="16"/>
      <c r="M194" s="15"/>
    </row>
    <row r="195" ht="14.25" customHeight="1">
      <c r="D195" s="15"/>
      <c r="G195" s="15"/>
      <c r="K195" s="16"/>
      <c r="M195" s="15"/>
    </row>
    <row r="196" ht="14.25" customHeight="1">
      <c r="D196" s="15"/>
      <c r="G196" s="15"/>
      <c r="K196" s="16"/>
      <c r="M196" s="15"/>
    </row>
    <row r="197" ht="14.25" customHeight="1">
      <c r="D197" s="15"/>
      <c r="G197" s="15"/>
      <c r="K197" s="16"/>
      <c r="M197" s="15"/>
    </row>
    <row r="198" ht="14.25" customHeight="1">
      <c r="D198" s="15"/>
      <c r="G198" s="15"/>
      <c r="K198" s="16"/>
      <c r="M198" s="15"/>
    </row>
    <row r="199" ht="14.25" customHeight="1">
      <c r="D199" s="15"/>
      <c r="G199" s="15"/>
      <c r="K199" s="16"/>
      <c r="M199" s="15"/>
    </row>
    <row r="200" ht="14.25" customHeight="1">
      <c r="D200" s="15"/>
      <c r="G200" s="15"/>
      <c r="K200" s="16"/>
      <c r="M200" s="15"/>
    </row>
    <row r="201" ht="14.25" customHeight="1">
      <c r="D201" s="15"/>
      <c r="G201" s="15"/>
      <c r="K201" s="16"/>
      <c r="M201" s="15"/>
    </row>
    <row r="202" ht="14.25" customHeight="1">
      <c r="D202" s="15"/>
      <c r="G202" s="15"/>
      <c r="K202" s="16"/>
      <c r="M202" s="15"/>
    </row>
    <row r="203" ht="14.25" customHeight="1">
      <c r="D203" s="15"/>
      <c r="G203" s="15"/>
      <c r="K203" s="16"/>
      <c r="M203" s="15"/>
    </row>
    <row r="204" ht="14.25" customHeight="1">
      <c r="D204" s="15"/>
      <c r="G204" s="15"/>
      <c r="K204" s="16"/>
      <c r="M204" s="15"/>
    </row>
    <row r="205" ht="14.25" customHeight="1">
      <c r="D205" s="15"/>
      <c r="G205" s="15"/>
      <c r="K205" s="16"/>
      <c r="M205" s="15"/>
    </row>
    <row r="206" ht="14.25" customHeight="1">
      <c r="D206" s="15"/>
      <c r="G206" s="15"/>
      <c r="K206" s="16"/>
      <c r="M206" s="15"/>
    </row>
    <row r="207" ht="14.25" customHeight="1">
      <c r="D207" s="15"/>
      <c r="G207" s="15"/>
      <c r="K207" s="16"/>
      <c r="M207" s="15"/>
    </row>
    <row r="208" ht="14.25" customHeight="1">
      <c r="D208" s="15"/>
      <c r="G208" s="15"/>
      <c r="K208" s="16"/>
      <c r="M208" s="15"/>
    </row>
    <row r="209" ht="14.25" customHeight="1">
      <c r="D209" s="15"/>
      <c r="G209" s="15"/>
      <c r="K209" s="16"/>
      <c r="M209" s="15"/>
    </row>
    <row r="210" ht="14.25" customHeight="1">
      <c r="D210" s="15"/>
      <c r="G210" s="15"/>
      <c r="K210" s="16"/>
      <c r="M210" s="15"/>
    </row>
    <row r="211" ht="14.25" customHeight="1">
      <c r="D211" s="15"/>
      <c r="G211" s="15"/>
      <c r="K211" s="16"/>
      <c r="M211" s="15"/>
    </row>
    <row r="212" ht="14.25" customHeight="1">
      <c r="D212" s="15"/>
      <c r="G212" s="15"/>
      <c r="K212" s="16"/>
      <c r="M212" s="15"/>
    </row>
    <row r="213" ht="14.25" customHeight="1">
      <c r="D213" s="15"/>
      <c r="G213" s="15"/>
      <c r="K213" s="16"/>
      <c r="M213" s="15"/>
    </row>
    <row r="214" ht="14.25" customHeight="1">
      <c r="D214" s="15"/>
      <c r="G214" s="15"/>
      <c r="K214" s="16"/>
      <c r="M214" s="15"/>
    </row>
    <row r="215" ht="14.25" customHeight="1">
      <c r="D215" s="15"/>
      <c r="G215" s="15"/>
      <c r="K215" s="16"/>
      <c r="M215" s="15"/>
    </row>
    <row r="216" ht="14.25" customHeight="1">
      <c r="D216" s="15"/>
      <c r="G216" s="15"/>
      <c r="K216" s="16"/>
      <c r="M216" s="15"/>
    </row>
    <row r="217" ht="14.25" customHeight="1">
      <c r="D217" s="15"/>
      <c r="G217" s="15"/>
      <c r="K217" s="16"/>
      <c r="M217" s="15"/>
    </row>
    <row r="218" ht="14.25" customHeight="1">
      <c r="D218" s="15"/>
      <c r="G218" s="15"/>
      <c r="K218" s="16"/>
      <c r="M218" s="15"/>
    </row>
    <row r="219" ht="14.25" customHeight="1">
      <c r="D219" s="15"/>
      <c r="G219" s="15"/>
      <c r="K219" s="16"/>
      <c r="M219" s="15"/>
    </row>
    <row r="220" ht="14.25" customHeight="1">
      <c r="D220" s="15"/>
      <c r="G220" s="15"/>
      <c r="K220" s="16"/>
      <c r="M220" s="15"/>
    </row>
    <row r="221" ht="14.25" customHeight="1">
      <c r="D221" s="15"/>
      <c r="G221" s="15"/>
      <c r="K221" s="16"/>
      <c r="M221" s="15"/>
    </row>
    <row r="222" ht="14.25" customHeight="1">
      <c r="D222" s="15"/>
      <c r="G222" s="15"/>
      <c r="K222" s="16"/>
      <c r="M222" s="15"/>
    </row>
    <row r="223" ht="14.25" customHeight="1">
      <c r="D223" s="15"/>
      <c r="G223" s="15"/>
      <c r="K223" s="16"/>
      <c r="M223" s="15"/>
    </row>
    <row r="224" ht="14.25" customHeight="1">
      <c r="D224" s="15"/>
      <c r="G224" s="15"/>
      <c r="K224" s="16"/>
      <c r="M224" s="15"/>
    </row>
    <row r="225" ht="14.25" customHeight="1">
      <c r="D225" s="15"/>
      <c r="G225" s="15"/>
      <c r="K225" s="16"/>
      <c r="M225" s="15"/>
    </row>
    <row r="226" ht="14.25" customHeight="1">
      <c r="D226" s="15"/>
      <c r="G226" s="15"/>
      <c r="K226" s="16"/>
      <c r="M226" s="15"/>
    </row>
    <row r="227" ht="14.25" customHeight="1">
      <c r="D227" s="15"/>
      <c r="G227" s="15"/>
      <c r="K227" s="16"/>
      <c r="M227" s="15"/>
    </row>
    <row r="228" ht="14.25" customHeight="1">
      <c r="D228" s="15"/>
      <c r="G228" s="15"/>
      <c r="K228" s="16"/>
      <c r="M228" s="15"/>
    </row>
    <row r="229" ht="14.25" customHeight="1">
      <c r="D229" s="15"/>
      <c r="G229" s="15"/>
      <c r="K229" s="16"/>
      <c r="M229" s="15"/>
    </row>
    <row r="230" ht="14.25" customHeight="1">
      <c r="D230" s="15"/>
      <c r="G230" s="15"/>
      <c r="K230" s="16"/>
      <c r="M230" s="15"/>
    </row>
    <row r="231" ht="14.25" customHeight="1">
      <c r="D231" s="15"/>
      <c r="G231" s="15"/>
      <c r="K231" s="16"/>
      <c r="M231" s="15"/>
    </row>
    <row r="232" ht="14.25" customHeight="1">
      <c r="D232" s="15"/>
      <c r="G232" s="15"/>
      <c r="K232" s="16"/>
      <c r="M232" s="15"/>
    </row>
    <row r="233" ht="14.25" customHeight="1">
      <c r="D233" s="15"/>
      <c r="G233" s="15"/>
      <c r="K233" s="16"/>
      <c r="M233" s="15"/>
    </row>
    <row r="234" ht="14.25" customHeight="1">
      <c r="D234" s="15"/>
      <c r="G234" s="15"/>
      <c r="K234" s="16"/>
      <c r="M234" s="15"/>
    </row>
    <row r="235" ht="14.25" customHeight="1">
      <c r="D235" s="15"/>
      <c r="G235" s="15"/>
      <c r="K235" s="16"/>
      <c r="M235" s="15"/>
    </row>
    <row r="236" ht="14.25" customHeight="1">
      <c r="D236" s="15"/>
      <c r="G236" s="15"/>
      <c r="K236" s="16"/>
      <c r="M236" s="15"/>
    </row>
    <row r="237" ht="14.25" customHeight="1">
      <c r="D237" s="15"/>
      <c r="G237" s="15"/>
      <c r="K237" s="16"/>
      <c r="M237" s="15"/>
    </row>
    <row r="238" ht="14.25" customHeight="1">
      <c r="D238" s="15"/>
      <c r="G238" s="15"/>
      <c r="K238" s="16"/>
      <c r="M238" s="15"/>
    </row>
    <row r="239" ht="14.25" customHeight="1">
      <c r="D239" s="15"/>
      <c r="G239" s="15"/>
      <c r="K239" s="16"/>
      <c r="M239" s="15"/>
    </row>
    <row r="240" ht="14.25" customHeight="1">
      <c r="D240" s="15"/>
      <c r="G240" s="15"/>
      <c r="K240" s="16"/>
      <c r="M240" s="15"/>
    </row>
    <row r="241" ht="14.25" customHeight="1">
      <c r="D241" s="15"/>
      <c r="G241" s="15"/>
      <c r="K241" s="16"/>
      <c r="M241" s="15"/>
    </row>
    <row r="242" ht="14.25" customHeight="1">
      <c r="D242" s="15"/>
      <c r="G242" s="15"/>
      <c r="K242" s="16"/>
      <c r="M242" s="15"/>
    </row>
    <row r="243" ht="14.25" customHeight="1">
      <c r="D243" s="15"/>
      <c r="G243" s="15"/>
      <c r="K243" s="16"/>
      <c r="M243" s="15"/>
    </row>
    <row r="244" ht="14.25" customHeight="1">
      <c r="D244" s="15"/>
      <c r="G244" s="15"/>
      <c r="K244" s="16"/>
      <c r="M244" s="15"/>
    </row>
    <row r="245" ht="14.25" customHeight="1">
      <c r="D245" s="15"/>
      <c r="G245" s="15"/>
      <c r="K245" s="16"/>
      <c r="M245" s="15"/>
    </row>
    <row r="246" ht="14.25" customHeight="1">
      <c r="D246" s="15"/>
      <c r="G246" s="15"/>
      <c r="K246" s="16"/>
      <c r="M246" s="15"/>
    </row>
    <row r="247" ht="14.25" customHeight="1">
      <c r="D247" s="15"/>
      <c r="G247" s="15"/>
      <c r="K247" s="16"/>
      <c r="M247" s="15"/>
    </row>
    <row r="248" ht="14.25" customHeight="1">
      <c r="D248" s="15"/>
      <c r="G248" s="15"/>
      <c r="K248" s="16"/>
      <c r="M248" s="15"/>
    </row>
    <row r="249" ht="14.25" customHeight="1">
      <c r="D249" s="15"/>
      <c r="G249" s="15"/>
      <c r="K249" s="16"/>
      <c r="M249" s="15"/>
    </row>
    <row r="250" ht="14.25" customHeight="1">
      <c r="D250" s="15"/>
      <c r="G250" s="15"/>
      <c r="K250" s="16"/>
      <c r="M250" s="15"/>
    </row>
    <row r="251" ht="14.25" customHeight="1">
      <c r="D251" s="15"/>
      <c r="G251" s="15"/>
      <c r="K251" s="16"/>
      <c r="M251" s="15"/>
    </row>
    <row r="252" ht="14.25" customHeight="1">
      <c r="D252" s="15"/>
      <c r="G252" s="15"/>
      <c r="K252" s="16"/>
      <c r="M252" s="15"/>
    </row>
    <row r="253" ht="14.25" customHeight="1">
      <c r="D253" s="15"/>
      <c r="G253" s="15"/>
      <c r="K253" s="16"/>
      <c r="M253" s="15"/>
    </row>
    <row r="254" ht="14.25" customHeight="1">
      <c r="D254" s="15"/>
      <c r="G254" s="15"/>
      <c r="K254" s="16"/>
      <c r="M254" s="15"/>
    </row>
    <row r="255" ht="14.25" customHeight="1">
      <c r="D255" s="15"/>
      <c r="G255" s="15"/>
      <c r="K255" s="16"/>
      <c r="M255" s="15"/>
    </row>
    <row r="256" ht="14.25" customHeight="1">
      <c r="D256" s="15"/>
      <c r="G256" s="15"/>
      <c r="K256" s="16"/>
      <c r="M256" s="15"/>
    </row>
    <row r="257" ht="14.25" customHeight="1">
      <c r="D257" s="15"/>
      <c r="G257" s="15"/>
      <c r="K257" s="16"/>
      <c r="M257" s="15"/>
    </row>
    <row r="258" ht="14.25" customHeight="1">
      <c r="D258" s="15"/>
      <c r="G258" s="15"/>
      <c r="K258" s="16"/>
      <c r="M258" s="15"/>
    </row>
    <row r="259" ht="14.25" customHeight="1">
      <c r="D259" s="15"/>
      <c r="G259" s="15"/>
      <c r="K259" s="16"/>
      <c r="M259" s="15"/>
    </row>
    <row r="260" ht="14.25" customHeight="1">
      <c r="D260" s="15"/>
      <c r="G260" s="15"/>
      <c r="K260" s="16"/>
      <c r="M260" s="15"/>
    </row>
    <row r="261" ht="14.25" customHeight="1">
      <c r="D261" s="15"/>
      <c r="G261" s="15"/>
      <c r="K261" s="16"/>
      <c r="M261" s="15"/>
    </row>
    <row r="262" ht="14.25" customHeight="1">
      <c r="D262" s="15"/>
      <c r="G262" s="15"/>
      <c r="K262" s="16"/>
      <c r="M262" s="15"/>
    </row>
    <row r="263" ht="14.25" customHeight="1">
      <c r="D263" s="15"/>
      <c r="G263" s="15"/>
      <c r="K263" s="16"/>
      <c r="M263" s="15"/>
    </row>
    <row r="264" ht="14.25" customHeight="1">
      <c r="D264" s="15"/>
      <c r="G264" s="15"/>
      <c r="K264" s="16"/>
      <c r="M264" s="15"/>
    </row>
    <row r="265" ht="14.25" customHeight="1">
      <c r="D265" s="15"/>
      <c r="G265" s="15"/>
      <c r="K265" s="16"/>
      <c r="M265" s="15"/>
    </row>
    <row r="266" ht="14.25" customHeight="1">
      <c r="D266" s="15"/>
      <c r="G266" s="15"/>
      <c r="K266" s="16"/>
      <c r="M266" s="15"/>
    </row>
    <row r="267" ht="14.25" customHeight="1">
      <c r="D267" s="15"/>
      <c r="G267" s="15"/>
      <c r="K267" s="16"/>
      <c r="M267" s="15"/>
    </row>
    <row r="268" ht="14.25" customHeight="1">
      <c r="D268" s="15"/>
      <c r="G268" s="15"/>
      <c r="K268" s="16"/>
      <c r="M268" s="15"/>
    </row>
    <row r="269" ht="14.25" customHeight="1">
      <c r="D269" s="15"/>
      <c r="G269" s="15"/>
      <c r="K269" s="16"/>
      <c r="M269" s="15"/>
    </row>
    <row r="270" ht="14.25" customHeight="1">
      <c r="D270" s="15"/>
      <c r="G270" s="15"/>
      <c r="K270" s="16"/>
      <c r="M270" s="15"/>
    </row>
    <row r="271" ht="14.25" customHeight="1">
      <c r="D271" s="15"/>
      <c r="G271" s="15"/>
      <c r="K271" s="16"/>
      <c r="M271" s="15"/>
    </row>
    <row r="272" ht="14.25" customHeight="1">
      <c r="D272" s="15"/>
      <c r="G272" s="15"/>
      <c r="K272" s="16"/>
      <c r="M272" s="15"/>
    </row>
    <row r="273" ht="14.25" customHeight="1">
      <c r="D273" s="15"/>
      <c r="G273" s="15"/>
      <c r="K273" s="16"/>
      <c r="M273" s="15"/>
    </row>
    <row r="274" ht="14.25" customHeight="1">
      <c r="D274" s="15"/>
      <c r="G274" s="15"/>
      <c r="K274" s="16"/>
      <c r="M274" s="15"/>
    </row>
    <row r="275" ht="14.25" customHeight="1">
      <c r="D275" s="15"/>
      <c r="G275" s="15"/>
      <c r="K275" s="16"/>
      <c r="M275" s="15"/>
    </row>
    <row r="276" ht="14.25" customHeight="1">
      <c r="D276" s="15"/>
      <c r="G276" s="15"/>
      <c r="K276" s="16"/>
      <c r="M276" s="15"/>
    </row>
    <row r="277" ht="14.25" customHeight="1">
      <c r="D277" s="15"/>
      <c r="G277" s="15"/>
      <c r="K277" s="16"/>
      <c r="M277" s="15"/>
    </row>
    <row r="278" ht="14.25" customHeight="1">
      <c r="D278" s="15"/>
      <c r="G278" s="15"/>
      <c r="K278" s="16"/>
      <c r="M278" s="15"/>
    </row>
    <row r="279" ht="14.25" customHeight="1">
      <c r="D279" s="15"/>
      <c r="G279" s="15"/>
      <c r="K279" s="16"/>
      <c r="M279" s="15"/>
    </row>
    <row r="280" ht="14.25" customHeight="1">
      <c r="D280" s="15"/>
      <c r="G280" s="15"/>
      <c r="K280" s="16"/>
      <c r="M280" s="15"/>
    </row>
    <row r="281" ht="14.25" customHeight="1">
      <c r="D281" s="15"/>
      <c r="G281" s="15"/>
      <c r="K281" s="16"/>
      <c r="M281" s="15"/>
    </row>
    <row r="282" ht="14.25" customHeight="1">
      <c r="D282" s="15"/>
      <c r="G282" s="15"/>
      <c r="K282" s="16"/>
      <c r="M282" s="15"/>
    </row>
    <row r="283" ht="14.25" customHeight="1">
      <c r="D283" s="15"/>
      <c r="G283" s="15"/>
      <c r="K283" s="16"/>
      <c r="M283" s="15"/>
    </row>
    <row r="284" ht="14.25" customHeight="1">
      <c r="D284" s="15"/>
      <c r="G284" s="15"/>
      <c r="K284" s="16"/>
      <c r="M284" s="15"/>
    </row>
    <row r="285" ht="14.25" customHeight="1">
      <c r="D285" s="15"/>
      <c r="G285" s="15"/>
      <c r="K285" s="16"/>
      <c r="M285" s="15"/>
    </row>
    <row r="286" ht="14.25" customHeight="1">
      <c r="D286" s="15"/>
      <c r="G286" s="15"/>
      <c r="K286" s="16"/>
      <c r="M286" s="15"/>
    </row>
    <row r="287" ht="14.25" customHeight="1">
      <c r="D287" s="15"/>
      <c r="G287" s="15"/>
      <c r="K287" s="16"/>
      <c r="M287" s="15"/>
    </row>
    <row r="288" ht="14.25" customHeight="1">
      <c r="D288" s="15"/>
      <c r="G288" s="15"/>
      <c r="K288" s="16"/>
      <c r="M288" s="15"/>
    </row>
    <row r="289" ht="14.25" customHeight="1">
      <c r="D289" s="15"/>
      <c r="G289" s="15"/>
      <c r="K289" s="16"/>
      <c r="M289" s="15"/>
    </row>
    <row r="290" ht="14.25" customHeight="1">
      <c r="D290" s="15"/>
      <c r="G290" s="15"/>
      <c r="K290" s="16"/>
      <c r="M290" s="15"/>
    </row>
    <row r="291" ht="14.25" customHeight="1">
      <c r="D291" s="15"/>
      <c r="G291" s="15"/>
      <c r="K291" s="16"/>
      <c r="M291" s="15"/>
    </row>
    <row r="292" ht="14.25" customHeight="1">
      <c r="D292" s="15"/>
      <c r="G292" s="15"/>
      <c r="K292" s="16"/>
      <c r="M292" s="15"/>
    </row>
    <row r="293" ht="14.25" customHeight="1">
      <c r="D293" s="15"/>
      <c r="G293" s="15"/>
      <c r="K293" s="16"/>
      <c r="M293" s="15"/>
    </row>
    <row r="294" ht="14.25" customHeight="1">
      <c r="D294" s="15"/>
      <c r="G294" s="15"/>
      <c r="K294" s="16"/>
      <c r="M294" s="15"/>
    </row>
    <row r="295" ht="14.25" customHeight="1">
      <c r="D295" s="15"/>
      <c r="G295" s="15"/>
      <c r="K295" s="16"/>
      <c r="M295" s="15"/>
    </row>
    <row r="296" ht="14.25" customHeight="1">
      <c r="D296" s="15"/>
      <c r="G296" s="15"/>
      <c r="K296" s="16"/>
      <c r="M296" s="15"/>
    </row>
    <row r="297" ht="14.25" customHeight="1">
      <c r="D297" s="15"/>
      <c r="G297" s="15"/>
      <c r="K297" s="16"/>
      <c r="M297" s="15"/>
    </row>
    <row r="298" ht="14.25" customHeight="1">
      <c r="D298" s="15"/>
      <c r="G298" s="15"/>
      <c r="K298" s="16"/>
      <c r="M298" s="15"/>
    </row>
    <row r="299" ht="14.25" customHeight="1">
      <c r="D299" s="15"/>
      <c r="G299" s="15"/>
      <c r="K299" s="16"/>
      <c r="M299" s="15"/>
    </row>
    <row r="300" ht="14.25" customHeight="1">
      <c r="D300" s="15"/>
      <c r="G300" s="15"/>
      <c r="K300" s="16"/>
      <c r="M300" s="15"/>
    </row>
    <row r="301" ht="14.25" customHeight="1">
      <c r="D301" s="15"/>
      <c r="G301" s="15"/>
      <c r="K301" s="16"/>
      <c r="M301" s="15"/>
    </row>
    <row r="302" ht="14.25" customHeight="1">
      <c r="D302" s="15"/>
      <c r="G302" s="15"/>
      <c r="K302" s="16"/>
      <c r="M302" s="15"/>
    </row>
    <row r="303" ht="14.25" customHeight="1">
      <c r="D303" s="15"/>
      <c r="G303" s="15"/>
      <c r="K303" s="16"/>
      <c r="M303" s="15"/>
    </row>
    <row r="304" ht="14.25" customHeight="1">
      <c r="D304" s="15"/>
      <c r="G304" s="15"/>
      <c r="K304" s="16"/>
      <c r="M304" s="15"/>
    </row>
    <row r="305" ht="14.25" customHeight="1">
      <c r="D305" s="15"/>
      <c r="G305" s="15"/>
      <c r="K305" s="16"/>
      <c r="M305" s="15"/>
    </row>
    <row r="306" ht="14.25" customHeight="1">
      <c r="D306" s="15"/>
      <c r="G306" s="15"/>
      <c r="K306" s="16"/>
      <c r="M306" s="15"/>
    </row>
    <row r="307" ht="14.25" customHeight="1">
      <c r="D307" s="15"/>
      <c r="G307" s="15"/>
      <c r="K307" s="16"/>
      <c r="M307" s="15"/>
    </row>
    <row r="308" ht="14.25" customHeight="1">
      <c r="D308" s="15"/>
      <c r="G308" s="15"/>
      <c r="K308" s="16"/>
      <c r="M308" s="15"/>
    </row>
    <row r="309" ht="14.25" customHeight="1">
      <c r="D309" s="15"/>
      <c r="G309" s="15"/>
      <c r="K309" s="16"/>
      <c r="M309" s="15"/>
    </row>
    <row r="310" ht="14.25" customHeight="1">
      <c r="D310" s="15"/>
      <c r="G310" s="15"/>
      <c r="K310" s="16"/>
      <c r="M310" s="15"/>
    </row>
    <row r="311" ht="14.25" customHeight="1">
      <c r="D311" s="15"/>
      <c r="G311" s="15"/>
      <c r="K311" s="16"/>
      <c r="M311" s="15"/>
    </row>
    <row r="312" ht="14.25" customHeight="1">
      <c r="D312" s="15"/>
      <c r="G312" s="15"/>
      <c r="K312" s="16"/>
      <c r="M312" s="15"/>
    </row>
    <row r="313" ht="14.25" customHeight="1">
      <c r="D313" s="15"/>
      <c r="G313" s="15"/>
      <c r="K313" s="16"/>
      <c r="M313" s="15"/>
    </row>
    <row r="314" ht="14.25" customHeight="1">
      <c r="D314" s="15"/>
      <c r="G314" s="15"/>
      <c r="K314" s="16"/>
      <c r="M314" s="15"/>
    </row>
    <row r="315" ht="14.25" customHeight="1">
      <c r="D315" s="15"/>
      <c r="G315" s="15"/>
      <c r="K315" s="16"/>
      <c r="M315" s="15"/>
    </row>
    <row r="316" ht="14.25" customHeight="1">
      <c r="D316" s="15"/>
      <c r="G316" s="15"/>
      <c r="K316" s="16"/>
      <c r="M316" s="15"/>
    </row>
    <row r="317" ht="14.25" customHeight="1">
      <c r="D317" s="15"/>
      <c r="G317" s="15"/>
      <c r="K317" s="16"/>
      <c r="M317" s="15"/>
    </row>
    <row r="318" ht="14.25" customHeight="1">
      <c r="D318" s="15"/>
      <c r="G318" s="15"/>
      <c r="K318" s="16"/>
      <c r="M318" s="15"/>
    </row>
    <row r="319" ht="14.25" customHeight="1">
      <c r="D319" s="15"/>
      <c r="G319" s="15"/>
      <c r="K319" s="16"/>
      <c r="M319" s="15"/>
    </row>
    <row r="320" ht="14.25" customHeight="1">
      <c r="D320" s="15"/>
      <c r="G320" s="15"/>
      <c r="K320" s="16"/>
      <c r="M320" s="15"/>
    </row>
    <row r="321" ht="14.25" customHeight="1">
      <c r="D321" s="15"/>
      <c r="G321" s="15"/>
      <c r="K321" s="16"/>
      <c r="M321" s="15"/>
    </row>
    <row r="322" ht="14.25" customHeight="1">
      <c r="D322" s="15"/>
      <c r="G322" s="15"/>
      <c r="K322" s="16"/>
      <c r="M322" s="15"/>
    </row>
    <row r="323" ht="14.25" customHeight="1">
      <c r="D323" s="15"/>
      <c r="G323" s="15"/>
      <c r="K323" s="16"/>
      <c r="M323" s="15"/>
    </row>
    <row r="324" ht="14.25" customHeight="1">
      <c r="D324" s="15"/>
      <c r="G324" s="15"/>
      <c r="K324" s="16"/>
      <c r="M324" s="15"/>
    </row>
    <row r="325" ht="14.25" customHeight="1">
      <c r="D325" s="15"/>
      <c r="G325" s="15"/>
      <c r="K325" s="16"/>
      <c r="M325" s="15"/>
    </row>
    <row r="326" ht="14.25" customHeight="1">
      <c r="D326" s="15"/>
      <c r="G326" s="15"/>
      <c r="K326" s="16"/>
      <c r="M326" s="15"/>
    </row>
    <row r="327" ht="14.25" customHeight="1">
      <c r="D327" s="15"/>
      <c r="G327" s="15"/>
      <c r="K327" s="16"/>
      <c r="M327" s="15"/>
    </row>
    <row r="328" ht="14.25" customHeight="1">
      <c r="D328" s="15"/>
      <c r="G328" s="15"/>
      <c r="K328" s="16"/>
      <c r="M328" s="15"/>
    </row>
    <row r="329" ht="14.25" customHeight="1">
      <c r="D329" s="15"/>
      <c r="G329" s="15"/>
      <c r="K329" s="16"/>
      <c r="M329" s="15"/>
    </row>
    <row r="330" ht="14.25" customHeight="1">
      <c r="D330" s="15"/>
      <c r="G330" s="15"/>
      <c r="K330" s="16"/>
      <c r="M330" s="15"/>
    </row>
    <row r="331" ht="14.25" customHeight="1">
      <c r="D331" s="15"/>
      <c r="G331" s="15"/>
      <c r="K331" s="16"/>
      <c r="M331" s="15"/>
    </row>
    <row r="332" ht="14.25" customHeight="1">
      <c r="D332" s="15"/>
      <c r="G332" s="15"/>
      <c r="K332" s="16"/>
      <c r="M332" s="15"/>
    </row>
    <row r="333" ht="14.25" customHeight="1">
      <c r="D333" s="15"/>
      <c r="G333" s="15"/>
      <c r="K333" s="16"/>
      <c r="M333" s="15"/>
    </row>
    <row r="334" ht="14.25" customHeight="1">
      <c r="D334" s="15"/>
      <c r="G334" s="15"/>
      <c r="K334" s="16"/>
      <c r="M334" s="15"/>
    </row>
    <row r="335" ht="14.25" customHeight="1">
      <c r="D335" s="15"/>
      <c r="G335" s="15"/>
      <c r="K335" s="16"/>
      <c r="M335" s="15"/>
    </row>
    <row r="336" ht="14.25" customHeight="1">
      <c r="D336" s="15"/>
      <c r="G336" s="15"/>
      <c r="K336" s="16"/>
      <c r="M336" s="15"/>
    </row>
    <row r="337" ht="14.25" customHeight="1">
      <c r="D337" s="15"/>
      <c r="G337" s="15"/>
      <c r="K337" s="16"/>
      <c r="M337" s="15"/>
    </row>
    <row r="338" ht="14.25" customHeight="1">
      <c r="D338" s="15"/>
      <c r="G338" s="15"/>
      <c r="K338" s="16"/>
      <c r="M338" s="15"/>
    </row>
    <row r="339" ht="14.25" customHeight="1">
      <c r="D339" s="15"/>
      <c r="G339" s="15"/>
      <c r="K339" s="16"/>
      <c r="M339" s="15"/>
    </row>
    <row r="340" ht="14.25" customHeight="1">
      <c r="D340" s="15"/>
      <c r="G340" s="15"/>
      <c r="K340" s="16"/>
      <c r="M340" s="15"/>
    </row>
    <row r="341" ht="14.25" customHeight="1">
      <c r="D341" s="15"/>
      <c r="G341" s="15"/>
      <c r="K341" s="16"/>
      <c r="M341" s="15"/>
    </row>
    <row r="342" ht="14.25" customHeight="1">
      <c r="D342" s="15"/>
      <c r="G342" s="15"/>
      <c r="K342" s="16"/>
      <c r="M342" s="15"/>
    </row>
    <row r="343" ht="14.25" customHeight="1">
      <c r="D343" s="15"/>
      <c r="G343" s="15"/>
      <c r="K343" s="16"/>
      <c r="M343" s="15"/>
    </row>
    <row r="344" ht="14.25" customHeight="1">
      <c r="D344" s="15"/>
      <c r="G344" s="15"/>
      <c r="K344" s="16"/>
      <c r="M344" s="15"/>
    </row>
    <row r="345" ht="14.25" customHeight="1">
      <c r="D345" s="15"/>
      <c r="G345" s="15"/>
      <c r="K345" s="16"/>
      <c r="M345" s="15"/>
    </row>
    <row r="346" ht="14.25" customHeight="1">
      <c r="D346" s="15"/>
      <c r="G346" s="15"/>
      <c r="K346" s="16"/>
      <c r="M346" s="15"/>
    </row>
    <row r="347" ht="14.25" customHeight="1">
      <c r="D347" s="15"/>
      <c r="G347" s="15"/>
      <c r="K347" s="16"/>
      <c r="M347" s="15"/>
    </row>
    <row r="348" ht="14.25" customHeight="1">
      <c r="D348" s="15"/>
      <c r="G348" s="15"/>
      <c r="K348" s="16"/>
      <c r="M348" s="15"/>
    </row>
    <row r="349" ht="14.25" customHeight="1">
      <c r="D349" s="15"/>
      <c r="G349" s="15"/>
      <c r="K349" s="16"/>
      <c r="M349" s="15"/>
    </row>
    <row r="350" ht="14.25" customHeight="1">
      <c r="D350" s="15"/>
      <c r="G350" s="15"/>
      <c r="K350" s="16"/>
      <c r="M350" s="15"/>
    </row>
    <row r="351" ht="14.25" customHeight="1">
      <c r="D351" s="15"/>
      <c r="G351" s="15"/>
      <c r="K351" s="16"/>
      <c r="M351" s="15"/>
    </row>
    <row r="352" ht="14.25" customHeight="1">
      <c r="D352" s="15"/>
      <c r="G352" s="15"/>
      <c r="K352" s="16"/>
      <c r="M352" s="15"/>
    </row>
    <row r="353" ht="14.25" customHeight="1">
      <c r="D353" s="15"/>
      <c r="G353" s="15"/>
      <c r="K353" s="16"/>
      <c r="M353" s="15"/>
    </row>
    <row r="354" ht="14.25" customHeight="1">
      <c r="D354" s="15"/>
      <c r="G354" s="15"/>
      <c r="K354" s="16"/>
      <c r="M354" s="15"/>
    </row>
    <row r="355" ht="14.25" customHeight="1">
      <c r="D355" s="15"/>
      <c r="G355" s="15"/>
      <c r="K355" s="16"/>
      <c r="M355" s="15"/>
    </row>
    <row r="356" ht="14.25" customHeight="1">
      <c r="D356" s="15"/>
      <c r="G356" s="15"/>
      <c r="K356" s="16"/>
      <c r="M356" s="15"/>
    </row>
    <row r="357" ht="14.25" customHeight="1">
      <c r="D357" s="15"/>
      <c r="G357" s="15"/>
      <c r="K357" s="16"/>
      <c r="M357" s="15"/>
    </row>
    <row r="358" ht="14.25" customHeight="1">
      <c r="D358" s="15"/>
      <c r="G358" s="15"/>
      <c r="K358" s="16"/>
      <c r="M358" s="15"/>
    </row>
    <row r="359" ht="14.25" customHeight="1">
      <c r="D359" s="15"/>
      <c r="G359" s="15"/>
      <c r="K359" s="16"/>
      <c r="M359" s="15"/>
    </row>
    <row r="360" ht="14.25" customHeight="1">
      <c r="D360" s="15"/>
      <c r="G360" s="15"/>
      <c r="K360" s="16"/>
      <c r="M360" s="15"/>
    </row>
    <row r="361" ht="14.25" customHeight="1">
      <c r="D361" s="15"/>
      <c r="G361" s="15"/>
      <c r="K361" s="16"/>
      <c r="M361" s="15"/>
    </row>
    <row r="362" ht="14.25" customHeight="1">
      <c r="D362" s="15"/>
      <c r="G362" s="15"/>
      <c r="K362" s="16"/>
      <c r="M362" s="15"/>
    </row>
    <row r="363" ht="14.25" customHeight="1">
      <c r="D363" s="15"/>
      <c r="G363" s="15"/>
      <c r="K363" s="16"/>
      <c r="M363" s="15"/>
    </row>
    <row r="364" ht="14.25" customHeight="1">
      <c r="D364" s="15"/>
      <c r="G364" s="15"/>
      <c r="K364" s="16"/>
      <c r="M364" s="15"/>
    </row>
    <row r="365" ht="14.25" customHeight="1">
      <c r="D365" s="15"/>
      <c r="G365" s="15"/>
      <c r="K365" s="16"/>
      <c r="M365" s="15"/>
    </row>
    <row r="366" ht="14.25" customHeight="1">
      <c r="D366" s="15"/>
      <c r="G366" s="15"/>
      <c r="K366" s="16"/>
      <c r="M366" s="15"/>
    </row>
    <row r="367" ht="14.25" customHeight="1">
      <c r="D367" s="15"/>
      <c r="G367" s="15"/>
      <c r="K367" s="16"/>
      <c r="M367" s="15"/>
    </row>
    <row r="368" ht="14.25" customHeight="1">
      <c r="D368" s="15"/>
      <c r="G368" s="15"/>
      <c r="K368" s="16"/>
      <c r="M368" s="15"/>
    </row>
    <row r="369" ht="14.25" customHeight="1">
      <c r="D369" s="15"/>
      <c r="G369" s="15"/>
      <c r="K369" s="16"/>
      <c r="M369" s="15"/>
    </row>
    <row r="370" ht="14.25" customHeight="1">
      <c r="D370" s="15"/>
      <c r="G370" s="15"/>
      <c r="K370" s="16"/>
      <c r="M370" s="15"/>
    </row>
    <row r="371" ht="14.25" customHeight="1">
      <c r="D371" s="15"/>
      <c r="G371" s="15"/>
      <c r="K371" s="16"/>
      <c r="M371" s="15"/>
    </row>
    <row r="372" ht="14.25" customHeight="1">
      <c r="D372" s="15"/>
      <c r="G372" s="15"/>
      <c r="K372" s="16"/>
      <c r="M372" s="15"/>
    </row>
    <row r="373" ht="14.25" customHeight="1">
      <c r="D373" s="15"/>
      <c r="G373" s="15"/>
      <c r="K373" s="16"/>
      <c r="M373" s="15"/>
    </row>
    <row r="374" ht="14.25" customHeight="1">
      <c r="D374" s="15"/>
      <c r="G374" s="15"/>
      <c r="K374" s="16"/>
      <c r="M374" s="15"/>
    </row>
    <row r="375" ht="14.25" customHeight="1">
      <c r="D375" s="15"/>
      <c r="G375" s="15"/>
      <c r="K375" s="16"/>
      <c r="M375" s="15"/>
    </row>
    <row r="376" ht="14.25" customHeight="1">
      <c r="D376" s="15"/>
      <c r="G376" s="15"/>
      <c r="K376" s="16"/>
      <c r="M376" s="15"/>
    </row>
    <row r="377" ht="14.25" customHeight="1">
      <c r="D377" s="15"/>
      <c r="G377" s="15"/>
      <c r="K377" s="16"/>
      <c r="M377" s="15"/>
    </row>
    <row r="378" ht="14.25" customHeight="1">
      <c r="D378" s="15"/>
      <c r="G378" s="15"/>
      <c r="K378" s="16"/>
      <c r="M378" s="15"/>
    </row>
    <row r="379" ht="14.25" customHeight="1">
      <c r="D379" s="15"/>
      <c r="G379" s="15"/>
      <c r="K379" s="16"/>
      <c r="M379" s="15"/>
    </row>
    <row r="380" ht="14.25" customHeight="1">
      <c r="D380" s="15"/>
      <c r="G380" s="15"/>
      <c r="K380" s="16"/>
      <c r="M380" s="15"/>
    </row>
    <row r="381" ht="14.25" customHeight="1">
      <c r="D381" s="15"/>
      <c r="G381" s="15"/>
      <c r="K381" s="16"/>
      <c r="M381" s="15"/>
    </row>
    <row r="382" ht="14.25" customHeight="1">
      <c r="D382" s="15"/>
      <c r="G382" s="15"/>
      <c r="K382" s="16"/>
      <c r="M382" s="15"/>
    </row>
    <row r="383" ht="14.25" customHeight="1">
      <c r="D383" s="15"/>
      <c r="G383" s="15"/>
      <c r="K383" s="16"/>
      <c r="M383" s="15"/>
    </row>
    <row r="384" ht="14.25" customHeight="1">
      <c r="D384" s="15"/>
      <c r="G384" s="15"/>
      <c r="K384" s="16"/>
      <c r="M384" s="15"/>
    </row>
    <row r="385" ht="14.25" customHeight="1">
      <c r="D385" s="15"/>
      <c r="G385" s="15"/>
      <c r="K385" s="16"/>
      <c r="M385" s="15"/>
    </row>
    <row r="386" ht="14.25" customHeight="1">
      <c r="D386" s="15"/>
      <c r="G386" s="15"/>
      <c r="K386" s="16"/>
      <c r="M386" s="15"/>
    </row>
    <row r="387" ht="14.25" customHeight="1">
      <c r="D387" s="15"/>
      <c r="G387" s="15"/>
      <c r="K387" s="16"/>
      <c r="M387" s="15"/>
    </row>
    <row r="388" ht="14.25" customHeight="1">
      <c r="D388" s="15"/>
      <c r="G388" s="15"/>
      <c r="K388" s="16"/>
      <c r="M388" s="15"/>
    </row>
    <row r="389" ht="14.25" customHeight="1">
      <c r="D389" s="15"/>
      <c r="G389" s="15"/>
      <c r="K389" s="16"/>
      <c r="M389" s="15"/>
    </row>
    <row r="390" ht="14.25" customHeight="1">
      <c r="D390" s="15"/>
      <c r="G390" s="15"/>
      <c r="K390" s="16"/>
      <c r="M390" s="15"/>
    </row>
    <row r="391" ht="14.25" customHeight="1">
      <c r="D391" s="15"/>
      <c r="G391" s="15"/>
      <c r="K391" s="16"/>
      <c r="M391" s="15"/>
    </row>
    <row r="392" ht="14.25" customHeight="1">
      <c r="D392" s="15"/>
      <c r="G392" s="15"/>
      <c r="K392" s="16"/>
      <c r="M392" s="15"/>
    </row>
    <row r="393" ht="14.25" customHeight="1">
      <c r="D393" s="15"/>
      <c r="G393" s="15"/>
      <c r="K393" s="16"/>
      <c r="M393" s="15"/>
    </row>
    <row r="394" ht="14.25" customHeight="1">
      <c r="D394" s="15"/>
      <c r="G394" s="15"/>
      <c r="K394" s="16"/>
      <c r="M394" s="15"/>
    </row>
    <row r="395" ht="14.25" customHeight="1">
      <c r="D395" s="15"/>
      <c r="G395" s="15"/>
      <c r="K395" s="16"/>
      <c r="M395" s="15"/>
    </row>
    <row r="396" ht="14.25" customHeight="1">
      <c r="D396" s="15"/>
      <c r="G396" s="15"/>
      <c r="K396" s="16"/>
      <c r="M396" s="15"/>
    </row>
    <row r="397" ht="14.25" customHeight="1">
      <c r="D397" s="15"/>
      <c r="G397" s="15"/>
      <c r="K397" s="16"/>
      <c r="M397" s="15"/>
    </row>
    <row r="398" ht="14.25" customHeight="1">
      <c r="D398" s="15"/>
      <c r="G398" s="15"/>
      <c r="K398" s="16"/>
      <c r="M398" s="15"/>
    </row>
    <row r="399" ht="14.25" customHeight="1">
      <c r="D399" s="15"/>
      <c r="G399" s="15"/>
      <c r="K399" s="16"/>
      <c r="M399" s="15"/>
    </row>
    <row r="400" ht="14.25" customHeight="1">
      <c r="D400" s="15"/>
      <c r="G400" s="15"/>
      <c r="K400" s="16"/>
      <c r="M400" s="15"/>
    </row>
    <row r="401" ht="14.25" customHeight="1">
      <c r="D401" s="15"/>
      <c r="G401" s="15"/>
      <c r="K401" s="16"/>
      <c r="M401" s="15"/>
    </row>
    <row r="402" ht="14.25" customHeight="1">
      <c r="D402" s="15"/>
      <c r="G402" s="15"/>
      <c r="K402" s="16"/>
      <c r="M402" s="15"/>
    </row>
    <row r="403" ht="14.25" customHeight="1">
      <c r="D403" s="15"/>
      <c r="G403" s="15"/>
      <c r="K403" s="16"/>
      <c r="M403" s="15"/>
    </row>
    <row r="404" ht="14.25" customHeight="1">
      <c r="D404" s="15"/>
      <c r="G404" s="15"/>
      <c r="K404" s="16"/>
      <c r="M404" s="15"/>
    </row>
    <row r="405" ht="14.25" customHeight="1">
      <c r="D405" s="15"/>
      <c r="G405" s="15"/>
      <c r="K405" s="16"/>
      <c r="M405" s="15"/>
    </row>
    <row r="406" ht="14.25" customHeight="1">
      <c r="D406" s="15"/>
      <c r="G406" s="15"/>
      <c r="K406" s="16"/>
      <c r="M406" s="15"/>
    </row>
    <row r="407" ht="14.25" customHeight="1">
      <c r="D407" s="15"/>
      <c r="G407" s="15"/>
      <c r="K407" s="16"/>
      <c r="M407" s="15"/>
    </row>
    <row r="408" ht="14.25" customHeight="1">
      <c r="D408" s="15"/>
      <c r="G408" s="15"/>
      <c r="K408" s="16"/>
      <c r="M408" s="15"/>
    </row>
    <row r="409" ht="14.25" customHeight="1">
      <c r="D409" s="15"/>
      <c r="G409" s="15"/>
      <c r="K409" s="16"/>
      <c r="M409" s="15"/>
    </row>
    <row r="410" ht="14.25" customHeight="1">
      <c r="D410" s="15"/>
      <c r="G410" s="15"/>
      <c r="K410" s="16"/>
      <c r="M410" s="15"/>
    </row>
    <row r="411" ht="14.25" customHeight="1">
      <c r="D411" s="15"/>
      <c r="G411" s="15"/>
      <c r="K411" s="16"/>
      <c r="M411" s="15"/>
    </row>
    <row r="412" ht="14.25" customHeight="1">
      <c r="D412" s="15"/>
      <c r="G412" s="15"/>
      <c r="K412" s="16"/>
      <c r="M412" s="15"/>
    </row>
    <row r="413" ht="14.25" customHeight="1">
      <c r="D413" s="15"/>
      <c r="G413" s="15"/>
      <c r="K413" s="16"/>
      <c r="M413" s="15"/>
    </row>
    <row r="414" ht="14.25" customHeight="1">
      <c r="D414" s="15"/>
      <c r="G414" s="15"/>
      <c r="K414" s="16"/>
      <c r="M414" s="15"/>
    </row>
    <row r="415" ht="14.25" customHeight="1">
      <c r="D415" s="15"/>
      <c r="G415" s="15"/>
      <c r="K415" s="16"/>
      <c r="M415" s="15"/>
    </row>
    <row r="416" ht="14.25" customHeight="1">
      <c r="D416" s="15"/>
      <c r="G416" s="15"/>
      <c r="K416" s="16"/>
      <c r="M416" s="15"/>
    </row>
    <row r="417" ht="14.25" customHeight="1">
      <c r="D417" s="15"/>
      <c r="G417" s="15"/>
      <c r="K417" s="16"/>
      <c r="M417" s="15"/>
    </row>
    <row r="418" ht="14.25" customHeight="1">
      <c r="D418" s="15"/>
      <c r="G418" s="15"/>
      <c r="K418" s="16"/>
      <c r="M418" s="15"/>
    </row>
    <row r="419" ht="14.25" customHeight="1">
      <c r="D419" s="15"/>
      <c r="G419" s="15"/>
      <c r="K419" s="16"/>
      <c r="M419" s="15"/>
    </row>
    <row r="420" ht="14.25" customHeight="1">
      <c r="D420" s="15"/>
      <c r="G420" s="15"/>
      <c r="K420" s="16"/>
      <c r="M420" s="15"/>
    </row>
    <row r="421" ht="14.25" customHeight="1">
      <c r="D421" s="15"/>
      <c r="G421" s="15"/>
      <c r="K421" s="16"/>
      <c r="M421" s="15"/>
    </row>
    <row r="422" ht="14.25" customHeight="1">
      <c r="D422" s="15"/>
      <c r="G422" s="15"/>
      <c r="K422" s="16"/>
      <c r="M422" s="15"/>
    </row>
    <row r="423" ht="14.25" customHeight="1">
      <c r="D423" s="15"/>
      <c r="G423" s="15"/>
      <c r="K423" s="16"/>
      <c r="M423" s="15"/>
    </row>
    <row r="424" ht="14.25" customHeight="1">
      <c r="D424" s="15"/>
      <c r="G424" s="15"/>
      <c r="K424" s="16"/>
      <c r="M424" s="15"/>
    </row>
    <row r="425" ht="14.25" customHeight="1">
      <c r="D425" s="15"/>
      <c r="G425" s="15"/>
      <c r="K425" s="16"/>
      <c r="M425" s="15"/>
    </row>
    <row r="426" ht="14.25" customHeight="1">
      <c r="D426" s="15"/>
      <c r="G426" s="15"/>
      <c r="K426" s="16"/>
      <c r="M426" s="15"/>
    </row>
    <row r="427" ht="14.25" customHeight="1">
      <c r="D427" s="15"/>
      <c r="G427" s="15"/>
      <c r="K427" s="16"/>
      <c r="M427" s="15"/>
    </row>
    <row r="428" ht="14.25" customHeight="1">
      <c r="D428" s="15"/>
      <c r="G428" s="15"/>
      <c r="K428" s="16"/>
      <c r="M428" s="15"/>
    </row>
    <row r="429" ht="14.25" customHeight="1">
      <c r="D429" s="15"/>
      <c r="G429" s="15"/>
      <c r="K429" s="16"/>
      <c r="M429" s="15"/>
    </row>
    <row r="430" ht="14.25" customHeight="1">
      <c r="D430" s="15"/>
      <c r="G430" s="15"/>
      <c r="K430" s="16"/>
      <c r="M430" s="15"/>
    </row>
    <row r="431" ht="14.25" customHeight="1">
      <c r="D431" s="15"/>
      <c r="G431" s="15"/>
      <c r="K431" s="16"/>
      <c r="M431" s="15"/>
    </row>
    <row r="432" ht="14.25" customHeight="1">
      <c r="D432" s="15"/>
      <c r="G432" s="15"/>
      <c r="K432" s="16"/>
      <c r="M432" s="15"/>
    </row>
    <row r="433" ht="14.25" customHeight="1">
      <c r="D433" s="15"/>
      <c r="G433" s="15"/>
      <c r="K433" s="16"/>
      <c r="M433" s="15"/>
    </row>
    <row r="434" ht="14.25" customHeight="1">
      <c r="D434" s="15"/>
      <c r="G434" s="15"/>
      <c r="K434" s="16"/>
      <c r="M434" s="15"/>
    </row>
    <row r="435" ht="14.25" customHeight="1">
      <c r="D435" s="15"/>
      <c r="G435" s="15"/>
      <c r="K435" s="16"/>
      <c r="M435" s="15"/>
    </row>
    <row r="436" ht="14.25" customHeight="1">
      <c r="D436" s="15"/>
      <c r="G436" s="15"/>
      <c r="K436" s="16"/>
      <c r="M436" s="15"/>
    </row>
    <row r="437" ht="14.25" customHeight="1">
      <c r="D437" s="15"/>
      <c r="G437" s="15"/>
      <c r="K437" s="16"/>
      <c r="M437" s="15"/>
    </row>
    <row r="438" ht="14.25" customHeight="1">
      <c r="D438" s="15"/>
      <c r="G438" s="15"/>
      <c r="K438" s="16"/>
      <c r="M438" s="15"/>
    </row>
    <row r="439" ht="14.25" customHeight="1">
      <c r="D439" s="15"/>
      <c r="G439" s="15"/>
      <c r="K439" s="16"/>
      <c r="M439" s="15"/>
    </row>
    <row r="440" ht="14.25" customHeight="1">
      <c r="D440" s="15"/>
      <c r="G440" s="15"/>
      <c r="K440" s="16"/>
      <c r="M440" s="15"/>
    </row>
    <row r="441" ht="14.25" customHeight="1">
      <c r="D441" s="15"/>
      <c r="G441" s="15"/>
      <c r="K441" s="16"/>
      <c r="M441" s="15"/>
    </row>
    <row r="442" ht="14.25" customHeight="1">
      <c r="D442" s="15"/>
      <c r="G442" s="15"/>
      <c r="K442" s="16"/>
      <c r="M442" s="15"/>
    </row>
    <row r="443" ht="14.25" customHeight="1">
      <c r="D443" s="15"/>
      <c r="G443" s="15"/>
      <c r="K443" s="16"/>
      <c r="M443" s="15"/>
    </row>
    <row r="444" ht="14.25" customHeight="1">
      <c r="D444" s="15"/>
      <c r="G444" s="15"/>
      <c r="K444" s="16"/>
      <c r="M444" s="15"/>
    </row>
    <row r="445" ht="14.25" customHeight="1">
      <c r="D445" s="15"/>
      <c r="G445" s="15"/>
      <c r="K445" s="16"/>
      <c r="M445" s="15"/>
    </row>
    <row r="446" ht="14.25" customHeight="1">
      <c r="D446" s="15"/>
      <c r="G446" s="15"/>
      <c r="K446" s="16"/>
      <c r="M446" s="15"/>
    </row>
    <row r="447" ht="14.25" customHeight="1">
      <c r="D447" s="15"/>
      <c r="G447" s="15"/>
      <c r="K447" s="16"/>
      <c r="M447" s="15"/>
    </row>
    <row r="448" ht="14.25" customHeight="1">
      <c r="D448" s="15"/>
      <c r="G448" s="15"/>
      <c r="K448" s="16"/>
      <c r="M448" s="15"/>
    </row>
    <row r="449" ht="14.25" customHeight="1">
      <c r="D449" s="15"/>
      <c r="G449" s="15"/>
      <c r="K449" s="16"/>
      <c r="M449" s="15"/>
    </row>
    <row r="450" ht="14.25" customHeight="1">
      <c r="D450" s="15"/>
      <c r="G450" s="15"/>
      <c r="K450" s="16"/>
      <c r="M450" s="15"/>
    </row>
    <row r="451" ht="14.25" customHeight="1">
      <c r="D451" s="15"/>
      <c r="G451" s="15"/>
      <c r="K451" s="16"/>
      <c r="M451" s="15"/>
    </row>
    <row r="452" ht="14.25" customHeight="1">
      <c r="D452" s="15"/>
      <c r="G452" s="15"/>
      <c r="K452" s="16"/>
      <c r="M452" s="15"/>
    </row>
    <row r="453" ht="14.25" customHeight="1">
      <c r="D453" s="15"/>
      <c r="G453" s="15"/>
      <c r="K453" s="16"/>
      <c r="M453" s="15"/>
    </row>
    <row r="454" ht="14.25" customHeight="1">
      <c r="D454" s="15"/>
      <c r="G454" s="15"/>
      <c r="K454" s="16"/>
      <c r="M454" s="15"/>
    </row>
    <row r="455" ht="14.25" customHeight="1">
      <c r="D455" s="15"/>
      <c r="G455" s="15"/>
      <c r="K455" s="16"/>
      <c r="M455" s="15"/>
    </row>
    <row r="456" ht="14.25" customHeight="1">
      <c r="D456" s="15"/>
      <c r="G456" s="15"/>
      <c r="K456" s="16"/>
      <c r="M456" s="15"/>
    </row>
    <row r="457" ht="14.25" customHeight="1">
      <c r="D457" s="15"/>
      <c r="G457" s="15"/>
      <c r="K457" s="16"/>
      <c r="M457" s="15"/>
    </row>
    <row r="458" ht="14.25" customHeight="1">
      <c r="D458" s="15"/>
      <c r="G458" s="15"/>
      <c r="K458" s="16"/>
      <c r="M458" s="15"/>
    </row>
    <row r="459" ht="14.25" customHeight="1">
      <c r="D459" s="15"/>
      <c r="G459" s="15"/>
      <c r="K459" s="16"/>
      <c r="M459" s="15"/>
    </row>
    <row r="460" ht="14.25" customHeight="1">
      <c r="D460" s="15"/>
      <c r="G460" s="15"/>
      <c r="K460" s="16"/>
      <c r="M460" s="15"/>
    </row>
    <row r="461" ht="14.25" customHeight="1">
      <c r="D461" s="15"/>
      <c r="G461" s="15"/>
      <c r="K461" s="16"/>
      <c r="M461" s="15"/>
    </row>
    <row r="462" ht="14.25" customHeight="1">
      <c r="D462" s="15"/>
      <c r="G462" s="15"/>
      <c r="K462" s="16"/>
      <c r="M462" s="15"/>
    </row>
    <row r="463" ht="14.25" customHeight="1">
      <c r="D463" s="15"/>
      <c r="G463" s="15"/>
      <c r="K463" s="16"/>
      <c r="M463" s="15"/>
    </row>
    <row r="464" ht="14.25" customHeight="1">
      <c r="D464" s="15"/>
      <c r="G464" s="15"/>
      <c r="K464" s="16"/>
      <c r="M464" s="15"/>
    </row>
    <row r="465" ht="14.25" customHeight="1">
      <c r="D465" s="15"/>
      <c r="G465" s="15"/>
      <c r="K465" s="16"/>
      <c r="M465" s="15"/>
    </row>
    <row r="466" ht="14.25" customHeight="1">
      <c r="D466" s="15"/>
      <c r="G466" s="15"/>
      <c r="K466" s="16"/>
      <c r="M466" s="15"/>
    </row>
    <row r="467" ht="14.25" customHeight="1">
      <c r="D467" s="15"/>
      <c r="G467" s="15"/>
      <c r="K467" s="16"/>
      <c r="M467" s="15"/>
    </row>
    <row r="468" ht="14.25" customHeight="1">
      <c r="D468" s="15"/>
      <c r="G468" s="15"/>
      <c r="K468" s="16"/>
      <c r="M468" s="15"/>
    </row>
    <row r="469" ht="14.25" customHeight="1">
      <c r="D469" s="15"/>
      <c r="G469" s="15"/>
      <c r="K469" s="16"/>
      <c r="M469" s="15"/>
    </row>
    <row r="470" ht="14.25" customHeight="1">
      <c r="D470" s="15"/>
      <c r="G470" s="15"/>
      <c r="K470" s="16"/>
      <c r="M470" s="15"/>
    </row>
    <row r="471" ht="14.25" customHeight="1">
      <c r="D471" s="15"/>
      <c r="G471" s="15"/>
      <c r="K471" s="16"/>
      <c r="M471" s="15"/>
    </row>
    <row r="472" ht="14.25" customHeight="1">
      <c r="D472" s="15"/>
      <c r="G472" s="15"/>
      <c r="K472" s="16"/>
      <c r="M472" s="15"/>
    </row>
    <row r="473" ht="14.25" customHeight="1">
      <c r="D473" s="15"/>
      <c r="G473" s="15"/>
      <c r="K473" s="16"/>
      <c r="M473" s="15"/>
    </row>
    <row r="474" ht="14.25" customHeight="1">
      <c r="D474" s="15"/>
      <c r="G474" s="15"/>
      <c r="K474" s="16"/>
      <c r="M474" s="15"/>
    </row>
    <row r="475" ht="14.25" customHeight="1">
      <c r="D475" s="15"/>
      <c r="G475" s="15"/>
      <c r="K475" s="16"/>
      <c r="M475" s="15"/>
    </row>
    <row r="476" ht="14.25" customHeight="1">
      <c r="D476" s="15"/>
      <c r="G476" s="15"/>
      <c r="K476" s="16"/>
      <c r="M476" s="15"/>
    </row>
    <row r="477" ht="14.25" customHeight="1">
      <c r="D477" s="15"/>
      <c r="G477" s="15"/>
      <c r="K477" s="16"/>
      <c r="M477" s="15"/>
    </row>
    <row r="478" ht="14.25" customHeight="1">
      <c r="D478" s="15"/>
      <c r="G478" s="15"/>
      <c r="K478" s="16"/>
      <c r="M478" s="15"/>
    </row>
    <row r="479" ht="14.25" customHeight="1">
      <c r="D479" s="15"/>
      <c r="G479" s="15"/>
      <c r="K479" s="16"/>
      <c r="M479" s="15"/>
    </row>
    <row r="480" ht="14.25" customHeight="1">
      <c r="D480" s="15"/>
      <c r="G480" s="15"/>
      <c r="K480" s="16"/>
      <c r="M480" s="15"/>
    </row>
    <row r="481" ht="14.25" customHeight="1">
      <c r="D481" s="15"/>
      <c r="G481" s="15"/>
      <c r="K481" s="16"/>
      <c r="M481" s="15"/>
    </row>
    <row r="482" ht="14.25" customHeight="1">
      <c r="D482" s="15"/>
      <c r="G482" s="15"/>
      <c r="K482" s="16"/>
      <c r="M482" s="15"/>
    </row>
    <row r="483" ht="14.25" customHeight="1">
      <c r="D483" s="15"/>
      <c r="G483" s="15"/>
      <c r="K483" s="16"/>
      <c r="M483" s="15"/>
    </row>
    <row r="484" ht="14.25" customHeight="1">
      <c r="D484" s="15"/>
      <c r="G484" s="15"/>
      <c r="K484" s="16"/>
      <c r="M484" s="15"/>
    </row>
    <row r="485" ht="14.25" customHeight="1">
      <c r="D485" s="15"/>
      <c r="G485" s="15"/>
      <c r="K485" s="16"/>
      <c r="M485" s="15"/>
    </row>
    <row r="486" ht="14.25" customHeight="1">
      <c r="D486" s="15"/>
      <c r="G486" s="15"/>
      <c r="K486" s="16"/>
      <c r="M486" s="15"/>
    </row>
    <row r="487" ht="14.25" customHeight="1">
      <c r="D487" s="15"/>
      <c r="G487" s="15"/>
      <c r="K487" s="16"/>
      <c r="M487" s="15"/>
    </row>
    <row r="488" ht="14.25" customHeight="1">
      <c r="D488" s="15"/>
      <c r="G488" s="15"/>
      <c r="K488" s="16"/>
      <c r="M488" s="15"/>
    </row>
    <row r="489" ht="14.25" customHeight="1">
      <c r="D489" s="15"/>
      <c r="G489" s="15"/>
      <c r="K489" s="16"/>
      <c r="M489" s="15"/>
    </row>
    <row r="490" ht="14.25" customHeight="1">
      <c r="D490" s="15"/>
      <c r="G490" s="15"/>
      <c r="K490" s="16"/>
      <c r="M490" s="15"/>
    </row>
    <row r="491" ht="14.25" customHeight="1">
      <c r="D491" s="15"/>
      <c r="G491" s="15"/>
      <c r="K491" s="16"/>
      <c r="M491" s="15"/>
    </row>
    <row r="492" ht="14.25" customHeight="1">
      <c r="D492" s="15"/>
      <c r="G492" s="15"/>
      <c r="K492" s="16"/>
      <c r="M492" s="15"/>
    </row>
    <row r="493" ht="14.25" customHeight="1">
      <c r="D493" s="15"/>
      <c r="G493" s="15"/>
      <c r="K493" s="16"/>
      <c r="M493" s="15"/>
    </row>
    <row r="494" ht="14.25" customHeight="1">
      <c r="D494" s="15"/>
      <c r="G494" s="15"/>
      <c r="K494" s="16"/>
      <c r="M494" s="15"/>
    </row>
    <row r="495" ht="14.25" customHeight="1">
      <c r="D495" s="15"/>
      <c r="G495" s="15"/>
      <c r="K495" s="16"/>
      <c r="M495" s="15"/>
    </row>
    <row r="496" ht="14.25" customHeight="1">
      <c r="D496" s="15"/>
      <c r="G496" s="15"/>
      <c r="K496" s="16"/>
      <c r="M496" s="15"/>
    </row>
    <row r="497" ht="14.25" customHeight="1">
      <c r="D497" s="15"/>
      <c r="G497" s="15"/>
      <c r="K497" s="16"/>
      <c r="M497" s="15"/>
    </row>
    <row r="498" ht="14.25" customHeight="1">
      <c r="D498" s="15"/>
      <c r="G498" s="15"/>
      <c r="K498" s="16"/>
      <c r="M498" s="15"/>
    </row>
    <row r="499" ht="14.25" customHeight="1">
      <c r="D499" s="15"/>
      <c r="G499" s="15"/>
      <c r="K499" s="16"/>
      <c r="M499" s="15"/>
    </row>
    <row r="500" ht="14.25" customHeight="1">
      <c r="D500" s="15"/>
      <c r="G500" s="15"/>
      <c r="K500" s="16"/>
      <c r="M500" s="15"/>
    </row>
    <row r="501" ht="14.25" customHeight="1">
      <c r="D501" s="15"/>
      <c r="G501" s="15"/>
      <c r="K501" s="16"/>
      <c r="M501" s="15"/>
    </row>
    <row r="502" ht="14.25" customHeight="1">
      <c r="D502" s="15"/>
      <c r="G502" s="15"/>
      <c r="K502" s="16"/>
      <c r="M502" s="15"/>
    </row>
    <row r="503" ht="14.25" customHeight="1">
      <c r="D503" s="15"/>
      <c r="G503" s="15"/>
      <c r="K503" s="16"/>
      <c r="M503" s="15"/>
    </row>
    <row r="504" ht="14.25" customHeight="1">
      <c r="D504" s="15"/>
      <c r="G504" s="15"/>
      <c r="K504" s="16"/>
      <c r="M504" s="15"/>
    </row>
    <row r="505" ht="14.25" customHeight="1">
      <c r="D505" s="15"/>
      <c r="G505" s="15"/>
      <c r="K505" s="16"/>
      <c r="M505" s="15"/>
    </row>
    <row r="506" ht="14.25" customHeight="1">
      <c r="D506" s="15"/>
      <c r="G506" s="15"/>
      <c r="K506" s="16"/>
      <c r="M506" s="15"/>
    </row>
    <row r="507" ht="14.25" customHeight="1">
      <c r="D507" s="15"/>
      <c r="G507" s="15"/>
      <c r="K507" s="16"/>
      <c r="M507" s="15"/>
    </row>
    <row r="508" ht="14.25" customHeight="1">
      <c r="D508" s="15"/>
      <c r="G508" s="15"/>
      <c r="K508" s="16"/>
      <c r="M508" s="15"/>
    </row>
    <row r="509" ht="14.25" customHeight="1">
      <c r="D509" s="15"/>
      <c r="G509" s="15"/>
      <c r="K509" s="16"/>
      <c r="M509" s="15"/>
    </row>
    <row r="510" ht="14.25" customHeight="1">
      <c r="D510" s="15"/>
      <c r="G510" s="15"/>
      <c r="K510" s="16"/>
      <c r="M510" s="15"/>
    </row>
    <row r="511" ht="14.25" customHeight="1">
      <c r="D511" s="15"/>
      <c r="G511" s="15"/>
      <c r="K511" s="16"/>
      <c r="M511" s="15"/>
    </row>
    <row r="512" ht="14.25" customHeight="1">
      <c r="D512" s="15"/>
      <c r="G512" s="15"/>
      <c r="K512" s="16"/>
      <c r="M512" s="15"/>
    </row>
    <row r="513" ht="14.25" customHeight="1">
      <c r="D513" s="15"/>
      <c r="G513" s="15"/>
      <c r="K513" s="16"/>
      <c r="M513" s="15"/>
    </row>
    <row r="514" ht="14.25" customHeight="1">
      <c r="D514" s="15"/>
      <c r="G514" s="15"/>
      <c r="K514" s="16"/>
      <c r="M514" s="15"/>
    </row>
    <row r="515" ht="14.25" customHeight="1">
      <c r="D515" s="15"/>
      <c r="G515" s="15"/>
      <c r="K515" s="16"/>
      <c r="M515" s="15"/>
    </row>
    <row r="516" ht="14.25" customHeight="1">
      <c r="D516" s="15"/>
      <c r="G516" s="15"/>
      <c r="K516" s="16"/>
      <c r="M516" s="15"/>
    </row>
    <row r="517" ht="14.25" customHeight="1">
      <c r="D517" s="15"/>
      <c r="G517" s="15"/>
      <c r="K517" s="16"/>
      <c r="M517" s="15"/>
    </row>
    <row r="518" ht="14.25" customHeight="1">
      <c r="D518" s="15"/>
      <c r="G518" s="15"/>
      <c r="K518" s="16"/>
      <c r="M518" s="15"/>
    </row>
    <row r="519" ht="14.25" customHeight="1">
      <c r="D519" s="15"/>
      <c r="G519" s="15"/>
      <c r="K519" s="16"/>
      <c r="M519" s="15"/>
    </row>
    <row r="520" ht="14.25" customHeight="1">
      <c r="D520" s="15"/>
      <c r="G520" s="15"/>
      <c r="K520" s="16"/>
      <c r="M520" s="15"/>
    </row>
    <row r="521" ht="14.25" customHeight="1">
      <c r="D521" s="15"/>
      <c r="G521" s="15"/>
      <c r="K521" s="16"/>
      <c r="M521" s="15"/>
    </row>
    <row r="522" ht="14.25" customHeight="1">
      <c r="D522" s="15"/>
      <c r="G522" s="15"/>
      <c r="K522" s="16"/>
      <c r="M522" s="15"/>
    </row>
    <row r="523" ht="14.25" customHeight="1">
      <c r="D523" s="15"/>
      <c r="G523" s="15"/>
      <c r="K523" s="16"/>
      <c r="M523" s="15"/>
    </row>
    <row r="524" ht="14.25" customHeight="1">
      <c r="D524" s="15"/>
      <c r="G524" s="15"/>
      <c r="K524" s="16"/>
      <c r="M524" s="15"/>
    </row>
    <row r="525" ht="14.25" customHeight="1">
      <c r="D525" s="15"/>
      <c r="G525" s="15"/>
      <c r="K525" s="16"/>
      <c r="M525" s="15"/>
    </row>
    <row r="526" ht="14.25" customHeight="1">
      <c r="D526" s="15"/>
      <c r="G526" s="15"/>
      <c r="K526" s="16"/>
      <c r="M526" s="15"/>
    </row>
    <row r="527" ht="14.25" customHeight="1">
      <c r="D527" s="15"/>
      <c r="G527" s="15"/>
      <c r="K527" s="16"/>
      <c r="M527" s="15"/>
    </row>
    <row r="528" ht="14.25" customHeight="1">
      <c r="D528" s="15"/>
      <c r="G528" s="15"/>
      <c r="K528" s="16"/>
      <c r="M528" s="15"/>
    </row>
    <row r="529" ht="14.25" customHeight="1">
      <c r="D529" s="15"/>
      <c r="G529" s="15"/>
      <c r="K529" s="16"/>
      <c r="M529" s="15"/>
    </row>
    <row r="530" ht="14.25" customHeight="1">
      <c r="D530" s="15"/>
      <c r="G530" s="15"/>
      <c r="K530" s="16"/>
      <c r="M530" s="15"/>
    </row>
    <row r="531" ht="14.25" customHeight="1">
      <c r="D531" s="15"/>
      <c r="G531" s="15"/>
      <c r="K531" s="16"/>
      <c r="M531" s="15"/>
    </row>
    <row r="532" ht="14.25" customHeight="1">
      <c r="D532" s="15"/>
      <c r="G532" s="15"/>
      <c r="K532" s="16"/>
      <c r="M532" s="15"/>
    </row>
    <row r="533" ht="14.25" customHeight="1">
      <c r="D533" s="15"/>
      <c r="G533" s="15"/>
      <c r="K533" s="16"/>
      <c r="M533" s="15"/>
    </row>
    <row r="534" ht="14.25" customHeight="1">
      <c r="D534" s="15"/>
      <c r="G534" s="15"/>
      <c r="K534" s="16"/>
      <c r="M534" s="15"/>
    </row>
    <row r="535" ht="14.25" customHeight="1">
      <c r="D535" s="15"/>
      <c r="G535" s="15"/>
      <c r="K535" s="16"/>
      <c r="M535" s="15"/>
    </row>
    <row r="536" ht="14.25" customHeight="1">
      <c r="D536" s="15"/>
      <c r="G536" s="15"/>
      <c r="K536" s="16"/>
      <c r="M536" s="15"/>
    </row>
    <row r="537" ht="14.25" customHeight="1">
      <c r="D537" s="15"/>
      <c r="G537" s="15"/>
      <c r="K537" s="16"/>
      <c r="M537" s="15"/>
    </row>
    <row r="538" ht="14.25" customHeight="1">
      <c r="D538" s="15"/>
      <c r="G538" s="15"/>
      <c r="K538" s="16"/>
      <c r="M538" s="15"/>
    </row>
    <row r="539" ht="14.25" customHeight="1">
      <c r="D539" s="15"/>
      <c r="G539" s="15"/>
      <c r="K539" s="16"/>
      <c r="M539" s="15"/>
    </row>
    <row r="540" ht="14.25" customHeight="1">
      <c r="D540" s="15"/>
      <c r="G540" s="15"/>
      <c r="K540" s="16"/>
      <c r="M540" s="15"/>
    </row>
    <row r="541" ht="14.25" customHeight="1">
      <c r="D541" s="15"/>
      <c r="G541" s="15"/>
      <c r="K541" s="16"/>
      <c r="M541" s="15"/>
    </row>
    <row r="542" ht="14.25" customHeight="1">
      <c r="D542" s="15"/>
      <c r="G542" s="15"/>
      <c r="K542" s="16"/>
      <c r="M542" s="15"/>
    </row>
    <row r="543" ht="14.25" customHeight="1">
      <c r="D543" s="15"/>
      <c r="G543" s="15"/>
      <c r="K543" s="16"/>
      <c r="M543" s="15"/>
    </row>
    <row r="544" ht="14.25" customHeight="1">
      <c r="D544" s="15"/>
      <c r="G544" s="15"/>
      <c r="K544" s="16"/>
      <c r="M544" s="15"/>
    </row>
    <row r="545" ht="14.25" customHeight="1">
      <c r="D545" s="15"/>
      <c r="G545" s="15"/>
      <c r="K545" s="16"/>
      <c r="M545" s="15"/>
    </row>
    <row r="546" ht="14.25" customHeight="1">
      <c r="D546" s="15"/>
      <c r="G546" s="15"/>
      <c r="K546" s="16"/>
      <c r="M546" s="15"/>
    </row>
    <row r="547" ht="14.25" customHeight="1">
      <c r="D547" s="15"/>
      <c r="G547" s="15"/>
      <c r="K547" s="16"/>
      <c r="M547" s="15"/>
    </row>
    <row r="548" ht="14.25" customHeight="1">
      <c r="D548" s="15"/>
      <c r="G548" s="15"/>
      <c r="K548" s="16"/>
      <c r="M548" s="15"/>
    </row>
    <row r="549" ht="14.25" customHeight="1">
      <c r="D549" s="15"/>
      <c r="G549" s="15"/>
      <c r="K549" s="16"/>
      <c r="M549" s="15"/>
    </row>
    <row r="550" ht="14.25" customHeight="1">
      <c r="D550" s="15"/>
      <c r="G550" s="15"/>
      <c r="K550" s="16"/>
      <c r="M550" s="15"/>
    </row>
    <row r="551" ht="14.25" customHeight="1">
      <c r="D551" s="15"/>
      <c r="G551" s="15"/>
      <c r="K551" s="16"/>
      <c r="M551" s="15"/>
    </row>
    <row r="552" ht="14.25" customHeight="1">
      <c r="D552" s="15"/>
      <c r="G552" s="15"/>
      <c r="K552" s="16"/>
      <c r="M552" s="15"/>
    </row>
    <row r="553" ht="14.25" customHeight="1">
      <c r="D553" s="15"/>
      <c r="G553" s="15"/>
      <c r="K553" s="16"/>
      <c r="M553" s="15"/>
    </row>
    <row r="554" ht="14.25" customHeight="1">
      <c r="D554" s="15"/>
      <c r="G554" s="15"/>
      <c r="K554" s="16"/>
      <c r="M554" s="15"/>
    </row>
    <row r="555" ht="14.25" customHeight="1">
      <c r="D555" s="15"/>
      <c r="G555" s="15"/>
      <c r="K555" s="16"/>
      <c r="M555" s="15"/>
    </row>
    <row r="556" ht="14.25" customHeight="1">
      <c r="D556" s="15"/>
      <c r="G556" s="15"/>
      <c r="K556" s="16"/>
      <c r="M556" s="15"/>
    </row>
    <row r="557" ht="14.25" customHeight="1">
      <c r="D557" s="15"/>
      <c r="G557" s="15"/>
      <c r="K557" s="16"/>
      <c r="M557" s="15"/>
    </row>
    <row r="558" ht="14.25" customHeight="1">
      <c r="D558" s="15"/>
      <c r="G558" s="15"/>
      <c r="K558" s="16"/>
      <c r="M558" s="15"/>
    </row>
    <row r="559" ht="14.25" customHeight="1">
      <c r="D559" s="15"/>
      <c r="G559" s="15"/>
      <c r="K559" s="16"/>
      <c r="M559" s="15"/>
    </row>
    <row r="560" ht="14.25" customHeight="1">
      <c r="D560" s="15"/>
      <c r="G560" s="15"/>
      <c r="K560" s="16"/>
      <c r="M560" s="15"/>
    </row>
    <row r="561" ht="14.25" customHeight="1">
      <c r="D561" s="15"/>
      <c r="G561" s="15"/>
      <c r="K561" s="16"/>
      <c r="M561" s="15"/>
    </row>
    <row r="562" ht="14.25" customHeight="1">
      <c r="D562" s="15"/>
      <c r="G562" s="15"/>
      <c r="K562" s="16"/>
      <c r="M562" s="15"/>
    </row>
    <row r="563" ht="14.25" customHeight="1">
      <c r="D563" s="15"/>
      <c r="G563" s="15"/>
      <c r="K563" s="16"/>
      <c r="M563" s="15"/>
    </row>
    <row r="564" ht="14.25" customHeight="1">
      <c r="D564" s="15"/>
      <c r="G564" s="15"/>
      <c r="K564" s="16"/>
      <c r="M564" s="15"/>
    </row>
    <row r="565" ht="14.25" customHeight="1">
      <c r="D565" s="15"/>
      <c r="G565" s="15"/>
      <c r="K565" s="16"/>
      <c r="M565" s="15"/>
    </row>
    <row r="566" ht="14.25" customHeight="1">
      <c r="D566" s="15"/>
      <c r="G566" s="15"/>
      <c r="K566" s="16"/>
      <c r="M566" s="15"/>
    </row>
    <row r="567" ht="14.25" customHeight="1">
      <c r="D567" s="15"/>
      <c r="G567" s="15"/>
      <c r="K567" s="16"/>
      <c r="M567" s="15"/>
    </row>
    <row r="568" ht="14.25" customHeight="1">
      <c r="D568" s="15"/>
      <c r="G568" s="15"/>
      <c r="K568" s="16"/>
      <c r="M568" s="15"/>
    </row>
    <row r="569" ht="14.25" customHeight="1">
      <c r="D569" s="15"/>
      <c r="G569" s="15"/>
      <c r="K569" s="16"/>
      <c r="M569" s="15"/>
    </row>
    <row r="570" ht="14.25" customHeight="1">
      <c r="D570" s="15"/>
      <c r="G570" s="15"/>
      <c r="K570" s="16"/>
      <c r="M570" s="15"/>
    </row>
    <row r="571" ht="14.25" customHeight="1">
      <c r="D571" s="15"/>
      <c r="G571" s="15"/>
      <c r="K571" s="16"/>
      <c r="M571" s="15"/>
    </row>
    <row r="572" ht="14.25" customHeight="1">
      <c r="D572" s="15"/>
      <c r="G572" s="15"/>
      <c r="K572" s="16"/>
      <c r="M572" s="15"/>
    </row>
    <row r="573" ht="14.25" customHeight="1">
      <c r="D573" s="15"/>
      <c r="G573" s="15"/>
      <c r="K573" s="16"/>
      <c r="M573" s="15"/>
    </row>
    <row r="574" ht="14.25" customHeight="1">
      <c r="D574" s="15"/>
      <c r="G574" s="15"/>
      <c r="K574" s="16"/>
      <c r="M574" s="15"/>
    </row>
    <row r="575" ht="14.25" customHeight="1">
      <c r="D575" s="15"/>
      <c r="G575" s="15"/>
      <c r="K575" s="16"/>
      <c r="M575" s="15"/>
    </row>
    <row r="576" ht="14.25" customHeight="1">
      <c r="D576" s="15"/>
      <c r="G576" s="15"/>
      <c r="K576" s="16"/>
      <c r="M576" s="15"/>
    </row>
    <row r="577" ht="14.25" customHeight="1">
      <c r="D577" s="15"/>
      <c r="G577" s="15"/>
      <c r="K577" s="16"/>
      <c r="M577" s="15"/>
    </row>
    <row r="578" ht="14.25" customHeight="1">
      <c r="D578" s="15"/>
      <c r="G578" s="15"/>
      <c r="K578" s="16"/>
      <c r="M578" s="15"/>
    </row>
    <row r="579" ht="14.25" customHeight="1">
      <c r="D579" s="15"/>
      <c r="G579" s="15"/>
      <c r="K579" s="16"/>
      <c r="M579" s="15"/>
    </row>
    <row r="580" ht="14.25" customHeight="1">
      <c r="D580" s="15"/>
      <c r="G580" s="15"/>
      <c r="K580" s="16"/>
      <c r="M580" s="15"/>
    </row>
    <row r="581" ht="14.25" customHeight="1">
      <c r="D581" s="15"/>
      <c r="G581" s="15"/>
      <c r="K581" s="16"/>
      <c r="M581" s="15"/>
    </row>
    <row r="582" ht="14.25" customHeight="1">
      <c r="D582" s="15"/>
      <c r="G582" s="15"/>
      <c r="K582" s="16"/>
      <c r="M582" s="15"/>
    </row>
    <row r="583" ht="14.25" customHeight="1">
      <c r="D583" s="15"/>
      <c r="G583" s="15"/>
      <c r="K583" s="16"/>
      <c r="M583" s="15"/>
    </row>
    <row r="584" ht="14.25" customHeight="1">
      <c r="D584" s="15"/>
      <c r="G584" s="15"/>
      <c r="K584" s="16"/>
      <c r="M584" s="15"/>
    </row>
    <row r="585" ht="14.25" customHeight="1">
      <c r="D585" s="15"/>
      <c r="G585" s="15"/>
      <c r="K585" s="16"/>
      <c r="M585" s="15"/>
    </row>
    <row r="586" ht="14.25" customHeight="1">
      <c r="D586" s="15"/>
      <c r="G586" s="15"/>
      <c r="K586" s="16"/>
      <c r="M586" s="15"/>
    </row>
    <row r="587" ht="14.25" customHeight="1">
      <c r="D587" s="15"/>
      <c r="G587" s="15"/>
      <c r="K587" s="16"/>
      <c r="M587" s="15"/>
    </row>
    <row r="588" ht="14.25" customHeight="1">
      <c r="D588" s="15"/>
      <c r="G588" s="15"/>
      <c r="K588" s="16"/>
      <c r="M588" s="15"/>
    </row>
    <row r="589" ht="14.25" customHeight="1">
      <c r="D589" s="15"/>
      <c r="G589" s="15"/>
      <c r="K589" s="16"/>
      <c r="M589" s="15"/>
    </row>
    <row r="590" ht="14.25" customHeight="1">
      <c r="D590" s="15"/>
      <c r="G590" s="15"/>
      <c r="K590" s="16"/>
      <c r="M590" s="15"/>
    </row>
    <row r="591" ht="14.25" customHeight="1">
      <c r="D591" s="15"/>
      <c r="G591" s="15"/>
      <c r="K591" s="16"/>
      <c r="M591" s="15"/>
    </row>
    <row r="592" ht="14.25" customHeight="1">
      <c r="D592" s="15"/>
      <c r="G592" s="15"/>
      <c r="K592" s="16"/>
      <c r="M592" s="15"/>
    </row>
    <row r="593" ht="14.25" customHeight="1">
      <c r="D593" s="15"/>
      <c r="G593" s="15"/>
      <c r="K593" s="16"/>
      <c r="M593" s="15"/>
    </row>
    <row r="594" ht="14.25" customHeight="1">
      <c r="D594" s="15"/>
      <c r="G594" s="15"/>
      <c r="K594" s="16"/>
      <c r="M594" s="15"/>
    </row>
    <row r="595" ht="14.25" customHeight="1">
      <c r="D595" s="15"/>
      <c r="G595" s="15"/>
      <c r="K595" s="16"/>
      <c r="M595" s="15"/>
    </row>
    <row r="596" ht="14.25" customHeight="1">
      <c r="D596" s="15"/>
      <c r="G596" s="15"/>
      <c r="K596" s="16"/>
      <c r="M596" s="15"/>
    </row>
    <row r="597" ht="14.25" customHeight="1">
      <c r="D597" s="15"/>
      <c r="G597" s="15"/>
      <c r="K597" s="16"/>
      <c r="M597" s="15"/>
    </row>
    <row r="598" ht="14.25" customHeight="1">
      <c r="D598" s="15"/>
      <c r="G598" s="15"/>
      <c r="K598" s="16"/>
      <c r="M598" s="15"/>
    </row>
    <row r="599" ht="14.25" customHeight="1">
      <c r="D599" s="15"/>
      <c r="G599" s="15"/>
      <c r="K599" s="16"/>
      <c r="M599" s="15"/>
    </row>
    <row r="600" ht="14.25" customHeight="1">
      <c r="D600" s="15"/>
      <c r="G600" s="15"/>
      <c r="K600" s="16"/>
      <c r="M600" s="15"/>
    </row>
    <row r="601" ht="14.25" customHeight="1">
      <c r="D601" s="15"/>
      <c r="G601" s="15"/>
      <c r="K601" s="16"/>
      <c r="M601" s="15"/>
    </row>
    <row r="602" ht="14.25" customHeight="1">
      <c r="D602" s="15"/>
      <c r="G602" s="15"/>
      <c r="K602" s="16"/>
      <c r="M602" s="15"/>
    </row>
    <row r="603" ht="14.25" customHeight="1">
      <c r="D603" s="15"/>
      <c r="G603" s="15"/>
      <c r="K603" s="16"/>
      <c r="M603" s="15"/>
    </row>
    <row r="604" ht="14.25" customHeight="1">
      <c r="D604" s="15"/>
      <c r="G604" s="15"/>
      <c r="K604" s="16"/>
      <c r="M604" s="15"/>
    </row>
    <row r="605" ht="14.25" customHeight="1">
      <c r="D605" s="15"/>
      <c r="G605" s="15"/>
      <c r="K605" s="16"/>
      <c r="M605" s="15"/>
    </row>
    <row r="606" ht="14.25" customHeight="1">
      <c r="D606" s="15"/>
      <c r="G606" s="15"/>
      <c r="K606" s="16"/>
      <c r="M606" s="15"/>
    </row>
    <row r="607" ht="14.25" customHeight="1">
      <c r="D607" s="15"/>
      <c r="G607" s="15"/>
      <c r="K607" s="16"/>
      <c r="M607" s="15"/>
    </row>
    <row r="608" ht="14.25" customHeight="1">
      <c r="D608" s="15"/>
      <c r="G608" s="15"/>
      <c r="K608" s="16"/>
      <c r="M608" s="15"/>
    </row>
    <row r="609" ht="14.25" customHeight="1">
      <c r="D609" s="15"/>
      <c r="G609" s="15"/>
      <c r="K609" s="16"/>
      <c r="M609" s="15"/>
    </row>
    <row r="610" ht="14.25" customHeight="1">
      <c r="D610" s="15"/>
      <c r="G610" s="15"/>
      <c r="K610" s="16"/>
      <c r="M610" s="15"/>
    </row>
    <row r="611" ht="14.25" customHeight="1">
      <c r="D611" s="15"/>
      <c r="G611" s="15"/>
      <c r="K611" s="16"/>
      <c r="M611" s="15"/>
    </row>
    <row r="612" ht="14.25" customHeight="1">
      <c r="D612" s="15"/>
      <c r="G612" s="15"/>
      <c r="K612" s="16"/>
      <c r="M612" s="15"/>
    </row>
    <row r="613" ht="14.25" customHeight="1">
      <c r="D613" s="15"/>
      <c r="G613" s="15"/>
      <c r="K613" s="16"/>
      <c r="M613" s="15"/>
    </row>
    <row r="614" ht="14.25" customHeight="1">
      <c r="D614" s="15"/>
      <c r="G614" s="15"/>
      <c r="K614" s="16"/>
      <c r="M614" s="15"/>
    </row>
    <row r="615" ht="14.25" customHeight="1">
      <c r="D615" s="15"/>
      <c r="G615" s="15"/>
      <c r="K615" s="16"/>
      <c r="M615" s="15"/>
    </row>
    <row r="616" ht="14.25" customHeight="1">
      <c r="D616" s="15"/>
      <c r="G616" s="15"/>
      <c r="K616" s="16"/>
      <c r="M616" s="15"/>
    </row>
    <row r="617" ht="14.25" customHeight="1">
      <c r="D617" s="15"/>
      <c r="G617" s="15"/>
      <c r="K617" s="16"/>
      <c r="M617" s="15"/>
    </row>
    <row r="618" ht="14.25" customHeight="1">
      <c r="D618" s="15"/>
      <c r="G618" s="15"/>
      <c r="K618" s="16"/>
      <c r="M618" s="15"/>
    </row>
    <row r="619" ht="14.25" customHeight="1">
      <c r="D619" s="15"/>
      <c r="G619" s="15"/>
      <c r="K619" s="16"/>
      <c r="M619" s="15"/>
    </row>
    <row r="620" ht="14.25" customHeight="1">
      <c r="D620" s="15"/>
      <c r="G620" s="15"/>
      <c r="K620" s="16"/>
      <c r="M620" s="15"/>
    </row>
    <row r="621" ht="14.25" customHeight="1">
      <c r="D621" s="15"/>
      <c r="G621" s="15"/>
      <c r="K621" s="16"/>
      <c r="M621" s="15"/>
    </row>
    <row r="622" ht="14.25" customHeight="1">
      <c r="D622" s="15"/>
      <c r="G622" s="15"/>
      <c r="K622" s="16"/>
      <c r="M622" s="15"/>
    </row>
    <row r="623" ht="14.25" customHeight="1">
      <c r="D623" s="15"/>
      <c r="G623" s="15"/>
      <c r="K623" s="16"/>
      <c r="M623" s="15"/>
    </row>
    <row r="624" ht="14.25" customHeight="1">
      <c r="D624" s="15"/>
      <c r="G624" s="15"/>
      <c r="K624" s="16"/>
      <c r="M624" s="15"/>
    </row>
    <row r="625" ht="14.25" customHeight="1">
      <c r="D625" s="15"/>
      <c r="G625" s="15"/>
      <c r="K625" s="16"/>
      <c r="M625" s="15"/>
    </row>
    <row r="626" ht="14.25" customHeight="1">
      <c r="D626" s="15"/>
      <c r="G626" s="15"/>
      <c r="K626" s="16"/>
      <c r="M626" s="15"/>
    </row>
    <row r="627" ht="14.25" customHeight="1">
      <c r="D627" s="15"/>
      <c r="G627" s="15"/>
      <c r="K627" s="16"/>
      <c r="M627" s="15"/>
    </row>
    <row r="628" ht="14.25" customHeight="1">
      <c r="D628" s="15"/>
      <c r="G628" s="15"/>
      <c r="K628" s="16"/>
      <c r="M628" s="15"/>
    </row>
    <row r="629" ht="14.25" customHeight="1">
      <c r="D629" s="15"/>
      <c r="G629" s="15"/>
      <c r="K629" s="16"/>
      <c r="M629" s="15"/>
    </row>
    <row r="630" ht="14.25" customHeight="1">
      <c r="D630" s="15"/>
      <c r="G630" s="15"/>
      <c r="K630" s="16"/>
      <c r="M630" s="15"/>
    </row>
    <row r="631" ht="14.25" customHeight="1">
      <c r="D631" s="15"/>
      <c r="G631" s="15"/>
      <c r="K631" s="16"/>
      <c r="M631" s="15"/>
    </row>
    <row r="632" ht="14.25" customHeight="1">
      <c r="D632" s="15"/>
      <c r="G632" s="15"/>
      <c r="K632" s="16"/>
      <c r="M632" s="15"/>
    </row>
    <row r="633" ht="14.25" customHeight="1">
      <c r="D633" s="15"/>
      <c r="G633" s="15"/>
      <c r="K633" s="16"/>
      <c r="M633" s="15"/>
    </row>
    <row r="634" ht="14.25" customHeight="1">
      <c r="D634" s="15"/>
      <c r="G634" s="15"/>
      <c r="K634" s="16"/>
      <c r="M634" s="15"/>
    </row>
    <row r="635" ht="14.25" customHeight="1">
      <c r="D635" s="15"/>
      <c r="G635" s="15"/>
      <c r="K635" s="16"/>
      <c r="M635" s="15"/>
    </row>
    <row r="636" ht="14.25" customHeight="1">
      <c r="D636" s="15"/>
      <c r="G636" s="15"/>
      <c r="K636" s="16"/>
      <c r="M636" s="15"/>
    </row>
    <row r="637" ht="14.25" customHeight="1">
      <c r="D637" s="15"/>
      <c r="G637" s="15"/>
      <c r="K637" s="16"/>
      <c r="M637" s="15"/>
    </row>
    <row r="638" ht="14.25" customHeight="1">
      <c r="D638" s="15"/>
      <c r="G638" s="15"/>
      <c r="K638" s="16"/>
      <c r="M638" s="15"/>
    </row>
    <row r="639" ht="14.25" customHeight="1">
      <c r="D639" s="15"/>
      <c r="G639" s="15"/>
      <c r="K639" s="16"/>
      <c r="M639" s="15"/>
    </row>
    <row r="640" ht="14.25" customHeight="1">
      <c r="D640" s="15"/>
      <c r="G640" s="15"/>
      <c r="K640" s="16"/>
      <c r="M640" s="15"/>
    </row>
    <row r="641" ht="14.25" customHeight="1">
      <c r="D641" s="15"/>
      <c r="G641" s="15"/>
      <c r="K641" s="16"/>
      <c r="M641" s="15"/>
    </row>
    <row r="642" ht="14.25" customHeight="1">
      <c r="D642" s="15"/>
      <c r="G642" s="15"/>
      <c r="K642" s="16"/>
      <c r="M642" s="15"/>
    </row>
    <row r="643" ht="14.25" customHeight="1">
      <c r="D643" s="15"/>
      <c r="G643" s="15"/>
      <c r="K643" s="16"/>
      <c r="M643" s="15"/>
    </row>
    <row r="644" ht="14.25" customHeight="1">
      <c r="D644" s="15"/>
      <c r="G644" s="15"/>
      <c r="K644" s="16"/>
      <c r="M644" s="15"/>
    </row>
    <row r="645" ht="14.25" customHeight="1">
      <c r="D645" s="15"/>
      <c r="G645" s="15"/>
      <c r="K645" s="16"/>
      <c r="M645" s="15"/>
    </row>
    <row r="646" ht="14.25" customHeight="1">
      <c r="D646" s="15"/>
      <c r="G646" s="15"/>
      <c r="K646" s="16"/>
      <c r="M646" s="15"/>
    </row>
    <row r="647" ht="14.25" customHeight="1">
      <c r="D647" s="15"/>
      <c r="G647" s="15"/>
      <c r="K647" s="16"/>
      <c r="M647" s="15"/>
    </row>
    <row r="648" ht="14.25" customHeight="1">
      <c r="D648" s="15"/>
      <c r="G648" s="15"/>
      <c r="K648" s="16"/>
      <c r="M648" s="15"/>
    </row>
    <row r="649" ht="14.25" customHeight="1">
      <c r="D649" s="15"/>
      <c r="G649" s="15"/>
      <c r="K649" s="16"/>
      <c r="M649" s="15"/>
    </row>
    <row r="650" ht="14.25" customHeight="1">
      <c r="D650" s="15"/>
      <c r="G650" s="15"/>
      <c r="K650" s="16"/>
      <c r="M650" s="15"/>
    </row>
    <row r="651" ht="14.25" customHeight="1">
      <c r="D651" s="15"/>
      <c r="G651" s="15"/>
      <c r="K651" s="16"/>
      <c r="M651" s="15"/>
    </row>
    <row r="652" ht="14.25" customHeight="1">
      <c r="D652" s="15"/>
      <c r="G652" s="15"/>
      <c r="K652" s="16"/>
      <c r="M652" s="15"/>
    </row>
    <row r="653" ht="14.25" customHeight="1">
      <c r="D653" s="15"/>
      <c r="G653" s="15"/>
      <c r="K653" s="16"/>
      <c r="M653" s="15"/>
    </row>
    <row r="654" ht="14.25" customHeight="1">
      <c r="D654" s="15"/>
      <c r="G654" s="15"/>
      <c r="K654" s="16"/>
      <c r="M654" s="15"/>
    </row>
    <row r="655" ht="14.25" customHeight="1">
      <c r="D655" s="15"/>
      <c r="G655" s="15"/>
      <c r="K655" s="16"/>
      <c r="M655" s="15"/>
    </row>
    <row r="656" ht="14.25" customHeight="1">
      <c r="D656" s="15"/>
      <c r="G656" s="15"/>
      <c r="K656" s="16"/>
      <c r="M656" s="15"/>
    </row>
    <row r="657" ht="14.25" customHeight="1">
      <c r="D657" s="15"/>
      <c r="G657" s="15"/>
      <c r="K657" s="16"/>
      <c r="M657" s="15"/>
    </row>
    <row r="658" ht="14.25" customHeight="1">
      <c r="D658" s="15"/>
      <c r="G658" s="15"/>
      <c r="K658" s="16"/>
      <c r="M658" s="15"/>
    </row>
    <row r="659" ht="14.25" customHeight="1">
      <c r="D659" s="15"/>
      <c r="G659" s="15"/>
      <c r="K659" s="16"/>
      <c r="M659" s="15"/>
    </row>
    <row r="660" ht="14.25" customHeight="1">
      <c r="D660" s="15"/>
      <c r="G660" s="15"/>
      <c r="K660" s="16"/>
      <c r="M660" s="15"/>
    </row>
    <row r="661" ht="14.25" customHeight="1">
      <c r="D661" s="15"/>
      <c r="G661" s="15"/>
      <c r="K661" s="16"/>
      <c r="M661" s="15"/>
    </row>
    <row r="662" ht="14.25" customHeight="1">
      <c r="D662" s="15"/>
      <c r="G662" s="15"/>
      <c r="K662" s="16"/>
      <c r="M662" s="15"/>
    </row>
    <row r="663" ht="14.25" customHeight="1">
      <c r="D663" s="15"/>
      <c r="G663" s="15"/>
      <c r="K663" s="16"/>
      <c r="M663" s="15"/>
    </row>
    <row r="664" ht="14.25" customHeight="1">
      <c r="D664" s="15"/>
      <c r="G664" s="15"/>
      <c r="K664" s="16"/>
      <c r="M664" s="15"/>
    </row>
    <row r="665" ht="14.25" customHeight="1">
      <c r="D665" s="15"/>
      <c r="G665" s="15"/>
      <c r="K665" s="16"/>
      <c r="M665" s="15"/>
    </row>
    <row r="666" ht="14.25" customHeight="1">
      <c r="D666" s="15"/>
      <c r="G666" s="15"/>
      <c r="K666" s="16"/>
      <c r="M666" s="15"/>
    </row>
    <row r="667" ht="14.25" customHeight="1">
      <c r="D667" s="15"/>
      <c r="G667" s="15"/>
      <c r="K667" s="16"/>
      <c r="M667" s="15"/>
    </row>
    <row r="668" ht="14.25" customHeight="1">
      <c r="D668" s="15"/>
      <c r="G668" s="15"/>
      <c r="K668" s="16"/>
      <c r="M668" s="15"/>
    </row>
    <row r="669" ht="14.25" customHeight="1">
      <c r="D669" s="15"/>
      <c r="G669" s="15"/>
      <c r="K669" s="16"/>
      <c r="M669" s="15"/>
    </row>
    <row r="670" ht="14.25" customHeight="1">
      <c r="D670" s="15"/>
      <c r="G670" s="15"/>
      <c r="K670" s="16"/>
      <c r="M670" s="15"/>
    </row>
    <row r="671" ht="14.25" customHeight="1">
      <c r="D671" s="15"/>
      <c r="G671" s="15"/>
      <c r="K671" s="16"/>
      <c r="M671" s="15"/>
    </row>
    <row r="672" ht="14.25" customHeight="1">
      <c r="D672" s="15"/>
      <c r="G672" s="15"/>
      <c r="K672" s="16"/>
      <c r="M672" s="15"/>
    </row>
    <row r="673" ht="14.25" customHeight="1">
      <c r="D673" s="15"/>
      <c r="G673" s="15"/>
      <c r="K673" s="16"/>
      <c r="M673" s="15"/>
    </row>
    <row r="674" ht="14.25" customHeight="1">
      <c r="D674" s="15"/>
      <c r="G674" s="15"/>
      <c r="K674" s="16"/>
      <c r="M674" s="15"/>
    </row>
    <row r="675" ht="14.25" customHeight="1">
      <c r="D675" s="15"/>
      <c r="G675" s="15"/>
      <c r="K675" s="16"/>
      <c r="M675" s="15"/>
    </row>
    <row r="676" ht="14.25" customHeight="1">
      <c r="D676" s="15"/>
      <c r="G676" s="15"/>
      <c r="K676" s="16"/>
      <c r="M676" s="15"/>
    </row>
    <row r="677" ht="14.25" customHeight="1">
      <c r="D677" s="15"/>
      <c r="G677" s="15"/>
      <c r="K677" s="16"/>
      <c r="M677" s="15"/>
    </row>
    <row r="678" ht="14.25" customHeight="1">
      <c r="D678" s="15"/>
      <c r="G678" s="15"/>
      <c r="K678" s="16"/>
      <c r="M678" s="15"/>
    </row>
    <row r="679" ht="14.25" customHeight="1">
      <c r="D679" s="15"/>
      <c r="G679" s="15"/>
      <c r="K679" s="16"/>
      <c r="M679" s="15"/>
    </row>
    <row r="680" ht="14.25" customHeight="1">
      <c r="D680" s="15"/>
      <c r="G680" s="15"/>
      <c r="K680" s="16"/>
      <c r="M680" s="15"/>
    </row>
    <row r="681" ht="14.25" customHeight="1">
      <c r="D681" s="15"/>
      <c r="G681" s="15"/>
      <c r="K681" s="16"/>
      <c r="M681" s="15"/>
    </row>
    <row r="682" ht="14.25" customHeight="1">
      <c r="D682" s="15"/>
      <c r="G682" s="15"/>
      <c r="K682" s="16"/>
      <c r="M682" s="15"/>
    </row>
    <row r="683" ht="14.25" customHeight="1">
      <c r="D683" s="15"/>
      <c r="G683" s="15"/>
      <c r="K683" s="16"/>
      <c r="M683" s="15"/>
    </row>
    <row r="684" ht="14.25" customHeight="1">
      <c r="D684" s="15"/>
      <c r="G684" s="15"/>
      <c r="K684" s="16"/>
      <c r="M684" s="15"/>
    </row>
    <row r="685" ht="14.25" customHeight="1">
      <c r="D685" s="15"/>
      <c r="G685" s="15"/>
      <c r="K685" s="16"/>
      <c r="M685" s="15"/>
    </row>
    <row r="686" ht="14.25" customHeight="1">
      <c r="D686" s="15"/>
      <c r="G686" s="15"/>
      <c r="K686" s="16"/>
      <c r="M686" s="15"/>
    </row>
    <row r="687" ht="14.25" customHeight="1">
      <c r="D687" s="15"/>
      <c r="G687" s="15"/>
      <c r="K687" s="16"/>
      <c r="M687" s="15"/>
    </row>
    <row r="688" ht="14.25" customHeight="1">
      <c r="D688" s="15"/>
      <c r="G688" s="15"/>
      <c r="K688" s="16"/>
      <c r="M688" s="15"/>
    </row>
    <row r="689" ht="14.25" customHeight="1">
      <c r="D689" s="15"/>
      <c r="G689" s="15"/>
      <c r="K689" s="16"/>
      <c r="M689" s="15"/>
    </row>
    <row r="690" ht="14.25" customHeight="1">
      <c r="D690" s="15"/>
      <c r="G690" s="15"/>
      <c r="K690" s="16"/>
      <c r="M690" s="15"/>
    </row>
    <row r="691" ht="14.25" customHeight="1">
      <c r="D691" s="15"/>
      <c r="G691" s="15"/>
      <c r="K691" s="16"/>
      <c r="M691" s="15"/>
    </row>
    <row r="692" ht="14.25" customHeight="1">
      <c r="D692" s="15"/>
      <c r="G692" s="15"/>
      <c r="K692" s="16"/>
      <c r="M692" s="15"/>
    </row>
    <row r="693" ht="14.25" customHeight="1">
      <c r="D693" s="15"/>
      <c r="G693" s="15"/>
      <c r="K693" s="16"/>
      <c r="M693" s="15"/>
    </row>
    <row r="694" ht="14.25" customHeight="1">
      <c r="D694" s="15"/>
      <c r="G694" s="15"/>
      <c r="K694" s="16"/>
      <c r="M694" s="15"/>
    </row>
    <row r="695" ht="14.25" customHeight="1">
      <c r="D695" s="15"/>
      <c r="G695" s="15"/>
      <c r="K695" s="16"/>
      <c r="M695" s="15"/>
    </row>
    <row r="696" ht="14.25" customHeight="1">
      <c r="D696" s="15"/>
      <c r="G696" s="15"/>
      <c r="K696" s="16"/>
      <c r="M696" s="15"/>
    </row>
    <row r="697" ht="14.25" customHeight="1">
      <c r="D697" s="15"/>
      <c r="G697" s="15"/>
      <c r="K697" s="16"/>
      <c r="M697" s="15"/>
    </row>
    <row r="698" ht="14.25" customHeight="1">
      <c r="D698" s="15"/>
      <c r="G698" s="15"/>
      <c r="K698" s="16"/>
      <c r="M698" s="15"/>
    </row>
    <row r="699" ht="14.25" customHeight="1">
      <c r="D699" s="15"/>
      <c r="G699" s="15"/>
      <c r="K699" s="16"/>
      <c r="M699" s="15"/>
    </row>
    <row r="700" ht="14.25" customHeight="1">
      <c r="D700" s="15"/>
      <c r="G700" s="15"/>
      <c r="K700" s="16"/>
      <c r="M700" s="15"/>
    </row>
    <row r="701" ht="14.25" customHeight="1">
      <c r="D701" s="15"/>
      <c r="G701" s="15"/>
      <c r="K701" s="16"/>
      <c r="M701" s="15"/>
    </row>
    <row r="702" ht="14.25" customHeight="1">
      <c r="D702" s="15"/>
      <c r="G702" s="15"/>
      <c r="K702" s="16"/>
      <c r="M702" s="15"/>
    </row>
    <row r="703" ht="14.25" customHeight="1">
      <c r="D703" s="15"/>
      <c r="G703" s="15"/>
      <c r="K703" s="16"/>
      <c r="M703" s="15"/>
    </row>
    <row r="704" ht="14.25" customHeight="1">
      <c r="D704" s="15"/>
      <c r="G704" s="15"/>
      <c r="K704" s="16"/>
      <c r="M704" s="15"/>
    </row>
    <row r="705" ht="14.25" customHeight="1">
      <c r="D705" s="15"/>
      <c r="G705" s="15"/>
      <c r="K705" s="16"/>
      <c r="M705" s="15"/>
    </row>
    <row r="706" ht="14.25" customHeight="1">
      <c r="D706" s="15"/>
      <c r="G706" s="15"/>
      <c r="K706" s="16"/>
      <c r="M706" s="15"/>
    </row>
    <row r="707" ht="14.25" customHeight="1">
      <c r="D707" s="15"/>
      <c r="G707" s="15"/>
      <c r="K707" s="16"/>
      <c r="M707" s="15"/>
    </row>
    <row r="708" ht="14.25" customHeight="1">
      <c r="D708" s="15"/>
      <c r="G708" s="15"/>
      <c r="K708" s="16"/>
      <c r="M708" s="15"/>
    </row>
    <row r="709" ht="14.25" customHeight="1">
      <c r="D709" s="15"/>
      <c r="G709" s="15"/>
      <c r="K709" s="16"/>
      <c r="M709" s="15"/>
    </row>
    <row r="710" ht="14.25" customHeight="1">
      <c r="D710" s="15"/>
      <c r="G710" s="15"/>
      <c r="K710" s="16"/>
      <c r="M710" s="15"/>
    </row>
    <row r="711" ht="14.25" customHeight="1">
      <c r="D711" s="15"/>
      <c r="G711" s="15"/>
      <c r="K711" s="16"/>
      <c r="M711" s="15"/>
    </row>
    <row r="712" ht="14.25" customHeight="1">
      <c r="D712" s="15"/>
      <c r="G712" s="15"/>
      <c r="K712" s="16"/>
      <c r="M712" s="15"/>
    </row>
    <row r="713" ht="14.25" customHeight="1">
      <c r="D713" s="15"/>
      <c r="G713" s="15"/>
      <c r="K713" s="16"/>
      <c r="M713" s="15"/>
    </row>
    <row r="714" ht="14.25" customHeight="1">
      <c r="D714" s="15"/>
      <c r="G714" s="15"/>
      <c r="K714" s="16"/>
      <c r="M714" s="15"/>
    </row>
    <row r="715" ht="14.25" customHeight="1">
      <c r="D715" s="15"/>
      <c r="G715" s="15"/>
      <c r="K715" s="16"/>
      <c r="M715" s="15"/>
    </row>
    <row r="716" ht="14.25" customHeight="1">
      <c r="D716" s="15"/>
      <c r="G716" s="15"/>
      <c r="K716" s="16"/>
      <c r="M716" s="15"/>
    </row>
    <row r="717" ht="14.25" customHeight="1">
      <c r="D717" s="15"/>
      <c r="G717" s="15"/>
      <c r="K717" s="16"/>
      <c r="M717" s="15"/>
    </row>
    <row r="718" ht="14.25" customHeight="1">
      <c r="D718" s="15"/>
      <c r="G718" s="15"/>
      <c r="K718" s="16"/>
      <c r="M718" s="15"/>
    </row>
    <row r="719" ht="14.25" customHeight="1">
      <c r="D719" s="15"/>
      <c r="G719" s="15"/>
      <c r="K719" s="16"/>
      <c r="M719" s="15"/>
    </row>
    <row r="720" ht="14.25" customHeight="1">
      <c r="D720" s="15"/>
      <c r="G720" s="15"/>
      <c r="K720" s="16"/>
      <c r="M720" s="15"/>
    </row>
    <row r="721" ht="14.25" customHeight="1">
      <c r="D721" s="15"/>
      <c r="G721" s="15"/>
      <c r="K721" s="16"/>
      <c r="M721" s="15"/>
    </row>
    <row r="722" ht="14.25" customHeight="1">
      <c r="D722" s="15"/>
      <c r="G722" s="15"/>
      <c r="K722" s="16"/>
      <c r="M722" s="15"/>
    </row>
    <row r="723" ht="14.25" customHeight="1">
      <c r="D723" s="15"/>
      <c r="G723" s="15"/>
      <c r="K723" s="16"/>
      <c r="M723" s="15"/>
    </row>
    <row r="724" ht="14.25" customHeight="1">
      <c r="D724" s="15"/>
      <c r="G724" s="15"/>
      <c r="K724" s="16"/>
      <c r="M724" s="15"/>
    </row>
    <row r="725" ht="14.25" customHeight="1">
      <c r="D725" s="15"/>
      <c r="G725" s="15"/>
      <c r="K725" s="16"/>
      <c r="M725" s="15"/>
    </row>
    <row r="726" ht="14.25" customHeight="1">
      <c r="D726" s="15"/>
      <c r="G726" s="15"/>
      <c r="K726" s="16"/>
      <c r="M726" s="15"/>
    </row>
    <row r="727" ht="14.25" customHeight="1">
      <c r="D727" s="15"/>
      <c r="G727" s="15"/>
      <c r="K727" s="16"/>
      <c r="M727" s="15"/>
    </row>
    <row r="728" ht="14.25" customHeight="1">
      <c r="D728" s="15"/>
      <c r="G728" s="15"/>
      <c r="K728" s="16"/>
      <c r="M728" s="15"/>
    </row>
    <row r="729" ht="14.25" customHeight="1">
      <c r="D729" s="15"/>
      <c r="G729" s="15"/>
      <c r="K729" s="16"/>
      <c r="M729" s="15"/>
    </row>
    <row r="730" ht="14.25" customHeight="1">
      <c r="D730" s="15"/>
      <c r="G730" s="15"/>
      <c r="K730" s="16"/>
      <c r="M730" s="15"/>
    </row>
    <row r="731" ht="14.25" customHeight="1">
      <c r="D731" s="15"/>
      <c r="G731" s="15"/>
      <c r="K731" s="16"/>
      <c r="M731" s="15"/>
    </row>
    <row r="732" ht="14.25" customHeight="1">
      <c r="D732" s="15"/>
      <c r="G732" s="15"/>
      <c r="K732" s="16"/>
      <c r="M732" s="15"/>
    </row>
    <row r="733" ht="14.25" customHeight="1">
      <c r="D733" s="15"/>
      <c r="G733" s="15"/>
      <c r="K733" s="16"/>
      <c r="M733" s="15"/>
    </row>
    <row r="734" ht="14.25" customHeight="1">
      <c r="D734" s="15"/>
      <c r="G734" s="15"/>
      <c r="K734" s="16"/>
      <c r="M734" s="15"/>
    </row>
    <row r="735" ht="14.25" customHeight="1">
      <c r="D735" s="15"/>
      <c r="G735" s="15"/>
      <c r="K735" s="16"/>
      <c r="M735" s="15"/>
    </row>
    <row r="736" ht="14.25" customHeight="1">
      <c r="D736" s="15"/>
      <c r="G736" s="15"/>
      <c r="K736" s="16"/>
      <c r="M736" s="15"/>
    </row>
    <row r="737" ht="14.25" customHeight="1">
      <c r="D737" s="15"/>
      <c r="G737" s="15"/>
      <c r="K737" s="16"/>
      <c r="M737" s="15"/>
    </row>
    <row r="738" ht="14.25" customHeight="1">
      <c r="D738" s="15"/>
      <c r="G738" s="15"/>
      <c r="K738" s="16"/>
      <c r="M738" s="15"/>
    </row>
    <row r="739" ht="14.25" customHeight="1">
      <c r="D739" s="15"/>
      <c r="G739" s="15"/>
      <c r="K739" s="16"/>
      <c r="M739" s="15"/>
    </row>
    <row r="740" ht="14.25" customHeight="1">
      <c r="D740" s="15"/>
      <c r="G740" s="15"/>
      <c r="K740" s="16"/>
      <c r="M740" s="15"/>
    </row>
    <row r="741" ht="14.25" customHeight="1">
      <c r="D741" s="15"/>
      <c r="G741" s="15"/>
      <c r="K741" s="16"/>
      <c r="M741" s="15"/>
    </row>
    <row r="742" ht="14.25" customHeight="1">
      <c r="D742" s="15"/>
      <c r="G742" s="15"/>
      <c r="K742" s="16"/>
      <c r="M742" s="15"/>
    </row>
    <row r="743" ht="14.25" customHeight="1">
      <c r="D743" s="15"/>
      <c r="G743" s="15"/>
      <c r="K743" s="16"/>
      <c r="M743" s="15"/>
    </row>
    <row r="744" ht="14.25" customHeight="1">
      <c r="D744" s="15"/>
      <c r="G744" s="15"/>
      <c r="K744" s="16"/>
      <c r="M744" s="15"/>
    </row>
    <row r="745" ht="14.25" customHeight="1">
      <c r="D745" s="15"/>
      <c r="G745" s="15"/>
      <c r="K745" s="16"/>
      <c r="M745" s="15"/>
    </row>
    <row r="746" ht="14.25" customHeight="1">
      <c r="D746" s="15"/>
      <c r="G746" s="15"/>
      <c r="K746" s="16"/>
      <c r="M746" s="15"/>
    </row>
    <row r="747" ht="14.25" customHeight="1">
      <c r="D747" s="15"/>
      <c r="G747" s="15"/>
      <c r="K747" s="16"/>
      <c r="M747" s="15"/>
    </row>
    <row r="748" ht="14.25" customHeight="1">
      <c r="D748" s="15"/>
      <c r="G748" s="15"/>
      <c r="K748" s="16"/>
      <c r="M748" s="15"/>
    </row>
    <row r="749" ht="14.25" customHeight="1">
      <c r="D749" s="15"/>
      <c r="G749" s="15"/>
      <c r="K749" s="16"/>
      <c r="M749" s="15"/>
    </row>
    <row r="750" ht="14.25" customHeight="1">
      <c r="D750" s="15"/>
      <c r="G750" s="15"/>
      <c r="K750" s="16"/>
      <c r="M750" s="15"/>
    </row>
    <row r="751" ht="14.25" customHeight="1">
      <c r="D751" s="15"/>
      <c r="G751" s="15"/>
      <c r="K751" s="16"/>
      <c r="M751" s="15"/>
    </row>
    <row r="752" ht="14.25" customHeight="1">
      <c r="D752" s="15"/>
      <c r="G752" s="15"/>
      <c r="K752" s="16"/>
      <c r="M752" s="15"/>
    </row>
    <row r="753" ht="14.25" customHeight="1">
      <c r="D753" s="15"/>
      <c r="G753" s="15"/>
      <c r="K753" s="16"/>
      <c r="M753" s="15"/>
    </row>
    <row r="754" ht="14.25" customHeight="1">
      <c r="D754" s="15"/>
      <c r="G754" s="15"/>
      <c r="K754" s="16"/>
      <c r="M754" s="15"/>
    </row>
    <row r="755" ht="14.25" customHeight="1">
      <c r="D755" s="15"/>
      <c r="G755" s="15"/>
      <c r="K755" s="16"/>
      <c r="M755" s="15"/>
    </row>
    <row r="756" ht="14.25" customHeight="1">
      <c r="D756" s="15"/>
      <c r="G756" s="15"/>
      <c r="K756" s="16"/>
      <c r="M756" s="15"/>
    </row>
    <row r="757" ht="14.25" customHeight="1">
      <c r="D757" s="15"/>
      <c r="G757" s="15"/>
      <c r="K757" s="16"/>
      <c r="M757" s="15"/>
    </row>
    <row r="758" ht="14.25" customHeight="1">
      <c r="D758" s="15"/>
      <c r="G758" s="15"/>
      <c r="K758" s="16"/>
      <c r="M758" s="15"/>
    </row>
    <row r="759" ht="14.25" customHeight="1">
      <c r="D759" s="15"/>
      <c r="G759" s="15"/>
      <c r="K759" s="16"/>
      <c r="M759" s="15"/>
    </row>
    <row r="760" ht="14.25" customHeight="1">
      <c r="D760" s="15"/>
      <c r="G760" s="15"/>
      <c r="K760" s="16"/>
      <c r="M760" s="15"/>
    </row>
    <row r="761" ht="14.25" customHeight="1">
      <c r="D761" s="15"/>
      <c r="G761" s="15"/>
      <c r="K761" s="16"/>
      <c r="M761" s="15"/>
    </row>
    <row r="762" ht="14.25" customHeight="1">
      <c r="D762" s="15"/>
      <c r="G762" s="15"/>
      <c r="K762" s="16"/>
      <c r="M762" s="15"/>
    </row>
    <row r="763" ht="14.25" customHeight="1">
      <c r="D763" s="15"/>
      <c r="G763" s="15"/>
      <c r="K763" s="16"/>
      <c r="M763" s="15"/>
    </row>
    <row r="764" ht="14.25" customHeight="1">
      <c r="D764" s="15"/>
      <c r="G764" s="15"/>
      <c r="K764" s="16"/>
      <c r="M764" s="15"/>
    </row>
    <row r="765" ht="14.25" customHeight="1">
      <c r="D765" s="15"/>
      <c r="G765" s="15"/>
      <c r="K765" s="16"/>
      <c r="M765" s="15"/>
    </row>
    <row r="766" ht="14.25" customHeight="1">
      <c r="D766" s="15"/>
      <c r="G766" s="15"/>
      <c r="K766" s="16"/>
      <c r="M766" s="15"/>
    </row>
    <row r="767" ht="14.25" customHeight="1">
      <c r="D767" s="15"/>
      <c r="G767" s="15"/>
      <c r="K767" s="16"/>
      <c r="M767" s="15"/>
    </row>
    <row r="768" ht="14.25" customHeight="1">
      <c r="D768" s="15"/>
      <c r="G768" s="15"/>
      <c r="K768" s="16"/>
      <c r="M768" s="15"/>
    </row>
    <row r="769" ht="14.25" customHeight="1">
      <c r="D769" s="15"/>
      <c r="G769" s="15"/>
      <c r="K769" s="16"/>
      <c r="M769" s="15"/>
    </row>
    <row r="770" ht="14.25" customHeight="1">
      <c r="D770" s="15"/>
      <c r="G770" s="15"/>
      <c r="K770" s="16"/>
      <c r="M770" s="15"/>
    </row>
    <row r="771" ht="14.25" customHeight="1">
      <c r="D771" s="15"/>
      <c r="G771" s="15"/>
      <c r="K771" s="16"/>
      <c r="M771" s="15"/>
    </row>
    <row r="772" ht="14.25" customHeight="1">
      <c r="D772" s="15"/>
      <c r="G772" s="15"/>
      <c r="K772" s="16"/>
      <c r="M772" s="15"/>
    </row>
    <row r="773" ht="14.25" customHeight="1">
      <c r="D773" s="15"/>
      <c r="G773" s="15"/>
      <c r="K773" s="16"/>
      <c r="M773" s="15"/>
    </row>
    <row r="774" ht="14.25" customHeight="1">
      <c r="D774" s="15"/>
      <c r="G774" s="15"/>
      <c r="K774" s="16"/>
      <c r="M774" s="15"/>
    </row>
    <row r="775" ht="14.25" customHeight="1">
      <c r="D775" s="15"/>
      <c r="G775" s="15"/>
      <c r="K775" s="16"/>
      <c r="M775" s="15"/>
    </row>
    <row r="776" ht="14.25" customHeight="1">
      <c r="D776" s="15"/>
      <c r="G776" s="15"/>
      <c r="K776" s="16"/>
      <c r="M776" s="15"/>
    </row>
    <row r="777" ht="14.25" customHeight="1">
      <c r="D777" s="15"/>
      <c r="G777" s="15"/>
      <c r="K777" s="16"/>
      <c r="M777" s="15"/>
    </row>
    <row r="778" ht="14.25" customHeight="1">
      <c r="D778" s="15"/>
      <c r="G778" s="15"/>
      <c r="K778" s="16"/>
      <c r="M778" s="15"/>
    </row>
    <row r="779" ht="14.25" customHeight="1">
      <c r="D779" s="15"/>
      <c r="G779" s="15"/>
      <c r="K779" s="16"/>
      <c r="M779" s="15"/>
    </row>
    <row r="780" ht="14.25" customHeight="1">
      <c r="D780" s="15"/>
      <c r="G780" s="15"/>
      <c r="K780" s="16"/>
      <c r="M780" s="15"/>
    </row>
    <row r="781" ht="14.25" customHeight="1">
      <c r="D781" s="15"/>
      <c r="G781" s="15"/>
      <c r="K781" s="16"/>
      <c r="M781" s="15"/>
    </row>
    <row r="782" ht="14.25" customHeight="1">
      <c r="D782" s="15"/>
      <c r="G782" s="15"/>
      <c r="K782" s="16"/>
      <c r="M782" s="15"/>
    </row>
    <row r="783" ht="14.25" customHeight="1">
      <c r="D783" s="15"/>
      <c r="G783" s="15"/>
      <c r="K783" s="16"/>
      <c r="M783" s="15"/>
    </row>
    <row r="784" ht="14.25" customHeight="1">
      <c r="D784" s="15"/>
      <c r="G784" s="15"/>
      <c r="K784" s="16"/>
      <c r="M784" s="15"/>
    </row>
    <row r="785" ht="14.25" customHeight="1">
      <c r="D785" s="15"/>
      <c r="G785" s="15"/>
      <c r="K785" s="16"/>
      <c r="M785" s="15"/>
    </row>
    <row r="786" ht="14.25" customHeight="1">
      <c r="D786" s="15"/>
      <c r="G786" s="15"/>
      <c r="K786" s="16"/>
      <c r="M786" s="15"/>
    </row>
    <row r="787" ht="14.25" customHeight="1">
      <c r="D787" s="15"/>
      <c r="G787" s="15"/>
      <c r="K787" s="16"/>
      <c r="M787" s="15"/>
    </row>
    <row r="788" ht="14.25" customHeight="1">
      <c r="D788" s="15"/>
      <c r="G788" s="15"/>
      <c r="K788" s="16"/>
      <c r="M788" s="15"/>
    </row>
    <row r="789" ht="14.25" customHeight="1">
      <c r="D789" s="15"/>
      <c r="G789" s="15"/>
      <c r="K789" s="16"/>
      <c r="M789" s="15"/>
    </row>
    <row r="790" ht="14.25" customHeight="1">
      <c r="D790" s="15"/>
      <c r="G790" s="15"/>
      <c r="K790" s="16"/>
      <c r="M790" s="15"/>
    </row>
    <row r="791" ht="14.25" customHeight="1">
      <c r="D791" s="15"/>
      <c r="G791" s="15"/>
      <c r="K791" s="16"/>
      <c r="M791" s="15"/>
    </row>
    <row r="792" ht="14.25" customHeight="1">
      <c r="D792" s="15"/>
      <c r="G792" s="15"/>
      <c r="K792" s="16"/>
      <c r="M792" s="15"/>
    </row>
    <row r="793" ht="14.25" customHeight="1">
      <c r="D793" s="15"/>
      <c r="G793" s="15"/>
      <c r="K793" s="16"/>
      <c r="M793" s="15"/>
    </row>
    <row r="794" ht="14.25" customHeight="1">
      <c r="D794" s="15"/>
      <c r="G794" s="15"/>
      <c r="K794" s="16"/>
      <c r="M794" s="15"/>
    </row>
    <row r="795" ht="14.25" customHeight="1">
      <c r="D795" s="15"/>
      <c r="G795" s="15"/>
      <c r="K795" s="16"/>
      <c r="M795" s="15"/>
    </row>
    <row r="796" ht="14.25" customHeight="1">
      <c r="D796" s="15"/>
      <c r="G796" s="15"/>
      <c r="K796" s="16"/>
      <c r="M796" s="15"/>
    </row>
    <row r="797" ht="14.25" customHeight="1">
      <c r="D797" s="15"/>
      <c r="G797" s="15"/>
      <c r="K797" s="16"/>
      <c r="M797" s="15"/>
    </row>
    <row r="798" ht="14.25" customHeight="1">
      <c r="D798" s="15"/>
      <c r="G798" s="15"/>
      <c r="K798" s="16"/>
      <c r="M798" s="15"/>
    </row>
    <row r="799" ht="14.25" customHeight="1">
      <c r="D799" s="15"/>
      <c r="G799" s="15"/>
      <c r="K799" s="16"/>
      <c r="M799" s="15"/>
    </row>
    <row r="800" ht="14.25" customHeight="1">
      <c r="D800" s="15"/>
      <c r="G800" s="15"/>
      <c r="K800" s="16"/>
      <c r="M800" s="15"/>
    </row>
    <row r="801" ht="14.25" customHeight="1">
      <c r="D801" s="15"/>
      <c r="G801" s="15"/>
      <c r="K801" s="16"/>
      <c r="M801" s="15"/>
    </row>
    <row r="802" ht="14.25" customHeight="1">
      <c r="D802" s="15"/>
      <c r="G802" s="15"/>
      <c r="K802" s="16"/>
      <c r="M802" s="15"/>
    </row>
    <row r="803" ht="14.25" customHeight="1">
      <c r="D803" s="15"/>
      <c r="G803" s="15"/>
      <c r="K803" s="16"/>
      <c r="M803" s="15"/>
    </row>
    <row r="804" ht="14.25" customHeight="1">
      <c r="D804" s="15"/>
      <c r="G804" s="15"/>
      <c r="K804" s="16"/>
      <c r="M804" s="15"/>
    </row>
    <row r="805" ht="14.25" customHeight="1">
      <c r="D805" s="15"/>
      <c r="G805" s="15"/>
      <c r="K805" s="16"/>
      <c r="M805" s="15"/>
    </row>
    <row r="806" ht="14.25" customHeight="1">
      <c r="D806" s="15"/>
      <c r="G806" s="15"/>
      <c r="K806" s="16"/>
      <c r="M806" s="15"/>
    </row>
    <row r="807" ht="14.25" customHeight="1">
      <c r="D807" s="15"/>
      <c r="G807" s="15"/>
      <c r="K807" s="16"/>
      <c r="M807" s="15"/>
    </row>
    <row r="808" ht="14.25" customHeight="1">
      <c r="D808" s="15"/>
      <c r="G808" s="15"/>
      <c r="K808" s="16"/>
      <c r="M808" s="15"/>
    </row>
    <row r="809" ht="14.25" customHeight="1">
      <c r="D809" s="15"/>
      <c r="G809" s="15"/>
      <c r="K809" s="16"/>
      <c r="M809" s="15"/>
    </row>
    <row r="810" ht="14.25" customHeight="1">
      <c r="D810" s="15"/>
      <c r="G810" s="15"/>
      <c r="K810" s="16"/>
      <c r="M810" s="15"/>
    </row>
    <row r="811" ht="14.25" customHeight="1">
      <c r="D811" s="15"/>
      <c r="G811" s="15"/>
      <c r="K811" s="16"/>
      <c r="M811" s="15"/>
    </row>
    <row r="812" ht="14.25" customHeight="1">
      <c r="D812" s="15"/>
      <c r="G812" s="15"/>
      <c r="K812" s="16"/>
      <c r="M812" s="15"/>
    </row>
    <row r="813" ht="14.25" customHeight="1">
      <c r="D813" s="15"/>
      <c r="G813" s="15"/>
      <c r="K813" s="16"/>
      <c r="M813" s="15"/>
    </row>
    <row r="814" ht="14.25" customHeight="1">
      <c r="D814" s="15"/>
      <c r="G814" s="15"/>
      <c r="K814" s="16"/>
      <c r="M814" s="15"/>
    </row>
    <row r="815" ht="14.25" customHeight="1">
      <c r="D815" s="15"/>
      <c r="G815" s="15"/>
      <c r="K815" s="16"/>
      <c r="M815" s="15"/>
    </row>
    <row r="816" ht="14.25" customHeight="1">
      <c r="D816" s="15"/>
      <c r="G816" s="15"/>
      <c r="K816" s="16"/>
      <c r="M816" s="15"/>
    </row>
    <row r="817" ht="14.25" customHeight="1">
      <c r="D817" s="15"/>
      <c r="G817" s="15"/>
      <c r="K817" s="16"/>
      <c r="M817" s="15"/>
    </row>
    <row r="818" ht="14.25" customHeight="1">
      <c r="D818" s="15"/>
      <c r="G818" s="15"/>
      <c r="K818" s="16"/>
      <c r="M818" s="15"/>
    </row>
    <row r="819" ht="14.25" customHeight="1">
      <c r="D819" s="15"/>
      <c r="G819" s="15"/>
      <c r="K819" s="16"/>
      <c r="M819" s="15"/>
    </row>
    <row r="820" ht="14.25" customHeight="1">
      <c r="D820" s="15"/>
      <c r="G820" s="15"/>
      <c r="K820" s="16"/>
      <c r="M820" s="15"/>
    </row>
    <row r="821" ht="14.25" customHeight="1">
      <c r="D821" s="15"/>
      <c r="G821" s="15"/>
      <c r="K821" s="16"/>
      <c r="M821" s="15"/>
    </row>
    <row r="822" ht="14.25" customHeight="1">
      <c r="D822" s="15"/>
      <c r="G822" s="15"/>
      <c r="K822" s="16"/>
      <c r="M822" s="15"/>
    </row>
    <row r="823" ht="14.25" customHeight="1">
      <c r="D823" s="15"/>
      <c r="G823" s="15"/>
      <c r="K823" s="16"/>
      <c r="M823" s="15"/>
    </row>
    <row r="824" ht="14.25" customHeight="1">
      <c r="D824" s="15"/>
      <c r="G824" s="15"/>
      <c r="K824" s="16"/>
      <c r="M824" s="15"/>
    </row>
    <row r="825" ht="14.25" customHeight="1">
      <c r="D825" s="15"/>
      <c r="G825" s="15"/>
      <c r="K825" s="16"/>
      <c r="M825" s="15"/>
    </row>
    <row r="826" ht="14.25" customHeight="1">
      <c r="D826" s="15"/>
      <c r="G826" s="15"/>
      <c r="K826" s="16"/>
      <c r="M826" s="15"/>
    </row>
    <row r="827" ht="14.25" customHeight="1">
      <c r="D827" s="15"/>
      <c r="G827" s="15"/>
      <c r="K827" s="16"/>
      <c r="M827" s="15"/>
    </row>
    <row r="828" ht="14.25" customHeight="1">
      <c r="D828" s="15"/>
      <c r="G828" s="15"/>
      <c r="K828" s="16"/>
      <c r="M828" s="15"/>
    </row>
    <row r="829" ht="14.25" customHeight="1">
      <c r="D829" s="15"/>
      <c r="G829" s="15"/>
      <c r="K829" s="16"/>
      <c r="M829" s="15"/>
    </row>
    <row r="830" ht="14.25" customHeight="1">
      <c r="D830" s="15"/>
      <c r="G830" s="15"/>
      <c r="K830" s="16"/>
      <c r="M830" s="15"/>
    </row>
    <row r="831" ht="14.25" customHeight="1">
      <c r="D831" s="15"/>
      <c r="G831" s="15"/>
      <c r="K831" s="16"/>
      <c r="M831" s="15"/>
    </row>
    <row r="832" ht="14.25" customHeight="1">
      <c r="D832" s="15"/>
      <c r="G832" s="15"/>
      <c r="K832" s="16"/>
      <c r="M832" s="15"/>
    </row>
    <row r="833" ht="14.25" customHeight="1">
      <c r="D833" s="15"/>
      <c r="G833" s="15"/>
      <c r="K833" s="16"/>
      <c r="M833" s="15"/>
    </row>
    <row r="834" ht="14.25" customHeight="1">
      <c r="D834" s="15"/>
      <c r="G834" s="15"/>
      <c r="K834" s="16"/>
      <c r="M834" s="15"/>
    </row>
    <row r="835" ht="14.25" customHeight="1">
      <c r="D835" s="15"/>
      <c r="G835" s="15"/>
      <c r="K835" s="16"/>
      <c r="M835" s="15"/>
    </row>
    <row r="836" ht="14.25" customHeight="1">
      <c r="D836" s="15"/>
      <c r="G836" s="15"/>
      <c r="K836" s="16"/>
      <c r="M836" s="15"/>
    </row>
    <row r="837" ht="14.25" customHeight="1">
      <c r="D837" s="15"/>
      <c r="G837" s="15"/>
      <c r="K837" s="16"/>
      <c r="M837" s="15"/>
    </row>
    <row r="838" ht="14.25" customHeight="1">
      <c r="D838" s="15"/>
      <c r="G838" s="15"/>
      <c r="K838" s="16"/>
      <c r="M838" s="15"/>
    </row>
    <row r="839" ht="14.25" customHeight="1">
      <c r="D839" s="15"/>
      <c r="G839" s="15"/>
      <c r="K839" s="16"/>
      <c r="M839" s="15"/>
    </row>
    <row r="840" ht="14.25" customHeight="1">
      <c r="D840" s="15"/>
      <c r="G840" s="15"/>
      <c r="K840" s="16"/>
      <c r="M840" s="15"/>
    </row>
    <row r="841" ht="14.25" customHeight="1">
      <c r="D841" s="15"/>
      <c r="G841" s="15"/>
      <c r="K841" s="16"/>
      <c r="M841" s="15"/>
    </row>
    <row r="842" ht="14.25" customHeight="1">
      <c r="D842" s="15"/>
      <c r="G842" s="15"/>
      <c r="K842" s="16"/>
      <c r="M842" s="15"/>
    </row>
    <row r="843" ht="14.25" customHeight="1">
      <c r="D843" s="15"/>
      <c r="G843" s="15"/>
      <c r="K843" s="16"/>
      <c r="M843" s="15"/>
    </row>
    <row r="844" ht="14.25" customHeight="1">
      <c r="D844" s="15"/>
      <c r="G844" s="15"/>
      <c r="K844" s="16"/>
      <c r="M844" s="15"/>
    </row>
    <row r="845" ht="14.25" customHeight="1">
      <c r="D845" s="15"/>
      <c r="G845" s="15"/>
      <c r="K845" s="16"/>
      <c r="M845" s="15"/>
    </row>
    <row r="846" ht="14.25" customHeight="1">
      <c r="D846" s="15"/>
      <c r="G846" s="15"/>
      <c r="K846" s="16"/>
      <c r="M846" s="15"/>
    </row>
    <row r="847" ht="14.25" customHeight="1">
      <c r="D847" s="15"/>
      <c r="G847" s="15"/>
      <c r="K847" s="16"/>
      <c r="M847" s="15"/>
    </row>
    <row r="848" ht="14.25" customHeight="1">
      <c r="D848" s="15"/>
      <c r="G848" s="15"/>
      <c r="K848" s="16"/>
      <c r="M848" s="15"/>
    </row>
    <row r="849" ht="14.25" customHeight="1">
      <c r="D849" s="15"/>
      <c r="G849" s="15"/>
      <c r="K849" s="16"/>
      <c r="M849" s="15"/>
    </row>
    <row r="850" ht="14.25" customHeight="1">
      <c r="D850" s="15"/>
      <c r="G850" s="15"/>
      <c r="K850" s="16"/>
      <c r="M850" s="15"/>
    </row>
    <row r="851" ht="14.25" customHeight="1">
      <c r="D851" s="15"/>
      <c r="G851" s="15"/>
      <c r="K851" s="16"/>
      <c r="M851" s="15"/>
    </row>
    <row r="852" ht="14.25" customHeight="1">
      <c r="D852" s="15"/>
      <c r="G852" s="15"/>
      <c r="K852" s="16"/>
      <c r="M852" s="15"/>
    </row>
    <row r="853" ht="14.25" customHeight="1">
      <c r="D853" s="15"/>
      <c r="G853" s="15"/>
      <c r="K853" s="16"/>
      <c r="M853" s="15"/>
    </row>
    <row r="854" ht="14.25" customHeight="1">
      <c r="D854" s="15"/>
      <c r="G854" s="15"/>
      <c r="K854" s="16"/>
      <c r="M854" s="15"/>
    </row>
    <row r="855" ht="14.25" customHeight="1">
      <c r="D855" s="15"/>
      <c r="G855" s="15"/>
      <c r="K855" s="16"/>
      <c r="M855" s="15"/>
    </row>
    <row r="856" ht="14.25" customHeight="1">
      <c r="D856" s="15"/>
      <c r="G856" s="15"/>
      <c r="K856" s="16"/>
      <c r="M856" s="15"/>
    </row>
    <row r="857" ht="14.25" customHeight="1">
      <c r="D857" s="15"/>
      <c r="G857" s="15"/>
      <c r="K857" s="16"/>
      <c r="M857" s="15"/>
    </row>
    <row r="858" ht="14.25" customHeight="1">
      <c r="D858" s="15"/>
      <c r="G858" s="15"/>
      <c r="K858" s="16"/>
      <c r="M858" s="15"/>
    </row>
    <row r="859" ht="14.25" customHeight="1">
      <c r="D859" s="15"/>
      <c r="G859" s="15"/>
      <c r="K859" s="16"/>
      <c r="M859" s="15"/>
    </row>
    <row r="860" ht="14.25" customHeight="1">
      <c r="D860" s="15"/>
      <c r="G860" s="15"/>
      <c r="K860" s="16"/>
      <c r="M860" s="15"/>
    </row>
    <row r="861" ht="14.25" customHeight="1">
      <c r="D861" s="15"/>
      <c r="G861" s="15"/>
      <c r="K861" s="16"/>
      <c r="M861" s="15"/>
    </row>
    <row r="862" ht="14.25" customHeight="1">
      <c r="D862" s="15"/>
      <c r="G862" s="15"/>
      <c r="K862" s="16"/>
      <c r="M862" s="15"/>
    </row>
    <row r="863" ht="14.25" customHeight="1">
      <c r="D863" s="15"/>
      <c r="G863" s="15"/>
      <c r="K863" s="16"/>
      <c r="M863" s="15"/>
    </row>
    <row r="864" ht="14.25" customHeight="1">
      <c r="D864" s="15"/>
      <c r="G864" s="15"/>
      <c r="K864" s="16"/>
      <c r="M864" s="15"/>
    </row>
    <row r="865" ht="14.25" customHeight="1">
      <c r="D865" s="15"/>
      <c r="G865" s="15"/>
      <c r="K865" s="16"/>
      <c r="M865" s="15"/>
    </row>
    <row r="866" ht="14.25" customHeight="1">
      <c r="D866" s="15"/>
      <c r="G866" s="15"/>
      <c r="K866" s="16"/>
      <c r="M866" s="15"/>
    </row>
    <row r="867" ht="14.25" customHeight="1">
      <c r="D867" s="15"/>
      <c r="G867" s="15"/>
      <c r="K867" s="16"/>
      <c r="M867" s="15"/>
    </row>
    <row r="868" ht="14.25" customHeight="1">
      <c r="D868" s="15"/>
      <c r="G868" s="15"/>
      <c r="K868" s="16"/>
      <c r="M868" s="15"/>
    </row>
    <row r="869" ht="14.25" customHeight="1">
      <c r="D869" s="15"/>
      <c r="G869" s="15"/>
      <c r="K869" s="16"/>
      <c r="M869" s="15"/>
    </row>
    <row r="870" ht="14.25" customHeight="1">
      <c r="D870" s="15"/>
      <c r="G870" s="15"/>
      <c r="K870" s="16"/>
      <c r="M870" s="15"/>
    </row>
    <row r="871" ht="14.25" customHeight="1">
      <c r="D871" s="15"/>
      <c r="G871" s="15"/>
      <c r="K871" s="16"/>
      <c r="M871" s="15"/>
    </row>
    <row r="872" ht="14.25" customHeight="1">
      <c r="D872" s="15"/>
      <c r="G872" s="15"/>
      <c r="K872" s="16"/>
      <c r="M872" s="15"/>
    </row>
    <row r="873" ht="14.25" customHeight="1">
      <c r="D873" s="15"/>
      <c r="G873" s="15"/>
      <c r="K873" s="16"/>
      <c r="M873" s="15"/>
    </row>
    <row r="874" ht="14.25" customHeight="1">
      <c r="D874" s="15"/>
      <c r="G874" s="15"/>
      <c r="K874" s="16"/>
      <c r="M874" s="15"/>
    </row>
    <row r="875" ht="14.25" customHeight="1">
      <c r="D875" s="15"/>
      <c r="G875" s="15"/>
      <c r="K875" s="16"/>
      <c r="M875" s="15"/>
    </row>
    <row r="876" ht="14.25" customHeight="1">
      <c r="D876" s="15"/>
      <c r="G876" s="15"/>
      <c r="K876" s="16"/>
      <c r="M876" s="15"/>
    </row>
    <row r="877" ht="14.25" customHeight="1">
      <c r="D877" s="15"/>
      <c r="G877" s="15"/>
      <c r="K877" s="16"/>
      <c r="M877" s="15"/>
    </row>
    <row r="878" ht="14.25" customHeight="1">
      <c r="D878" s="15"/>
      <c r="G878" s="15"/>
      <c r="K878" s="16"/>
      <c r="M878" s="15"/>
    </row>
    <row r="879" ht="14.25" customHeight="1">
      <c r="D879" s="15"/>
      <c r="G879" s="15"/>
      <c r="K879" s="16"/>
      <c r="M879" s="15"/>
    </row>
    <row r="880" ht="14.25" customHeight="1">
      <c r="D880" s="15"/>
      <c r="G880" s="15"/>
      <c r="K880" s="16"/>
      <c r="M880" s="15"/>
    </row>
    <row r="881" ht="14.25" customHeight="1">
      <c r="D881" s="15"/>
      <c r="G881" s="15"/>
      <c r="K881" s="16"/>
      <c r="M881" s="15"/>
    </row>
    <row r="882" ht="14.25" customHeight="1">
      <c r="D882" s="15"/>
      <c r="G882" s="15"/>
      <c r="K882" s="16"/>
      <c r="M882" s="15"/>
    </row>
    <row r="883" ht="14.25" customHeight="1">
      <c r="D883" s="15"/>
      <c r="G883" s="15"/>
      <c r="K883" s="16"/>
      <c r="M883" s="15"/>
    </row>
    <row r="884" ht="14.25" customHeight="1">
      <c r="D884" s="15"/>
      <c r="G884" s="15"/>
      <c r="K884" s="16"/>
      <c r="M884" s="15"/>
    </row>
    <row r="885" ht="14.25" customHeight="1">
      <c r="D885" s="15"/>
      <c r="G885" s="15"/>
      <c r="K885" s="16"/>
      <c r="M885" s="15"/>
    </row>
    <row r="886" ht="14.25" customHeight="1">
      <c r="D886" s="15"/>
      <c r="G886" s="15"/>
      <c r="K886" s="16"/>
      <c r="M886" s="15"/>
    </row>
    <row r="887" ht="14.25" customHeight="1">
      <c r="D887" s="15"/>
      <c r="G887" s="15"/>
      <c r="K887" s="16"/>
      <c r="M887" s="15"/>
    </row>
    <row r="888" ht="14.25" customHeight="1">
      <c r="D888" s="15"/>
      <c r="G888" s="15"/>
      <c r="K888" s="16"/>
      <c r="M888" s="15"/>
    </row>
    <row r="889" ht="14.25" customHeight="1">
      <c r="D889" s="15"/>
      <c r="G889" s="15"/>
      <c r="K889" s="16"/>
      <c r="M889" s="15"/>
    </row>
    <row r="890" ht="14.25" customHeight="1">
      <c r="D890" s="15"/>
      <c r="G890" s="15"/>
      <c r="K890" s="16"/>
      <c r="M890" s="15"/>
    </row>
    <row r="891" ht="14.25" customHeight="1">
      <c r="D891" s="15"/>
      <c r="G891" s="15"/>
      <c r="K891" s="16"/>
      <c r="M891" s="15"/>
    </row>
    <row r="892" ht="14.25" customHeight="1">
      <c r="D892" s="15"/>
      <c r="G892" s="15"/>
      <c r="K892" s="16"/>
      <c r="M892" s="15"/>
    </row>
    <row r="893" ht="14.25" customHeight="1">
      <c r="D893" s="15"/>
      <c r="G893" s="15"/>
      <c r="K893" s="16"/>
      <c r="M893" s="15"/>
    </row>
    <row r="894" ht="14.25" customHeight="1">
      <c r="D894" s="15"/>
      <c r="G894" s="15"/>
      <c r="K894" s="16"/>
      <c r="M894" s="15"/>
    </row>
    <row r="895" ht="14.25" customHeight="1">
      <c r="D895" s="15"/>
      <c r="G895" s="15"/>
      <c r="K895" s="16"/>
      <c r="M895" s="15"/>
    </row>
    <row r="896" ht="14.25" customHeight="1">
      <c r="D896" s="15"/>
      <c r="G896" s="15"/>
      <c r="K896" s="16"/>
      <c r="M896" s="15"/>
    </row>
    <row r="897" ht="14.25" customHeight="1">
      <c r="D897" s="15"/>
      <c r="G897" s="15"/>
      <c r="K897" s="16"/>
      <c r="M897" s="15"/>
    </row>
    <row r="898" ht="14.25" customHeight="1">
      <c r="D898" s="15"/>
      <c r="G898" s="15"/>
      <c r="K898" s="16"/>
      <c r="M898" s="15"/>
    </row>
    <row r="899" ht="14.25" customHeight="1">
      <c r="D899" s="15"/>
      <c r="G899" s="15"/>
      <c r="K899" s="16"/>
      <c r="M899" s="15"/>
    </row>
    <row r="900" ht="14.25" customHeight="1">
      <c r="D900" s="15"/>
      <c r="G900" s="15"/>
      <c r="K900" s="16"/>
      <c r="M900" s="15"/>
    </row>
    <row r="901" ht="14.25" customHeight="1">
      <c r="D901" s="15"/>
      <c r="G901" s="15"/>
      <c r="K901" s="16"/>
      <c r="M901" s="15"/>
    </row>
    <row r="902" ht="14.25" customHeight="1">
      <c r="D902" s="15"/>
      <c r="G902" s="15"/>
      <c r="K902" s="16"/>
      <c r="M902" s="15"/>
    </row>
    <row r="903" ht="14.25" customHeight="1">
      <c r="D903" s="15"/>
      <c r="G903" s="15"/>
      <c r="K903" s="16"/>
      <c r="M903" s="15"/>
    </row>
    <row r="904" ht="14.25" customHeight="1">
      <c r="D904" s="15"/>
      <c r="G904" s="15"/>
      <c r="K904" s="16"/>
      <c r="M904" s="15"/>
    </row>
    <row r="905" ht="14.25" customHeight="1">
      <c r="D905" s="15"/>
      <c r="G905" s="15"/>
      <c r="K905" s="16"/>
      <c r="M905" s="15"/>
    </row>
    <row r="906" ht="14.25" customHeight="1">
      <c r="D906" s="15"/>
      <c r="G906" s="15"/>
      <c r="K906" s="16"/>
      <c r="M906" s="15"/>
    </row>
    <row r="907" ht="14.25" customHeight="1">
      <c r="D907" s="15"/>
      <c r="G907" s="15"/>
      <c r="K907" s="16"/>
      <c r="M907" s="15"/>
    </row>
    <row r="908" ht="14.25" customHeight="1">
      <c r="D908" s="15"/>
      <c r="G908" s="15"/>
      <c r="K908" s="16"/>
      <c r="M908" s="15"/>
    </row>
    <row r="909" ht="14.25" customHeight="1">
      <c r="D909" s="15"/>
      <c r="G909" s="15"/>
      <c r="K909" s="16"/>
      <c r="M909" s="15"/>
    </row>
    <row r="910" ht="14.25" customHeight="1">
      <c r="D910" s="15"/>
      <c r="G910" s="15"/>
      <c r="K910" s="16"/>
      <c r="M910" s="15"/>
    </row>
    <row r="911" ht="14.25" customHeight="1">
      <c r="D911" s="15"/>
      <c r="G911" s="15"/>
      <c r="K911" s="16"/>
      <c r="M911" s="15"/>
    </row>
    <row r="912" ht="14.25" customHeight="1">
      <c r="D912" s="15"/>
      <c r="G912" s="15"/>
      <c r="K912" s="16"/>
      <c r="M912" s="15"/>
    </row>
    <row r="913" ht="14.25" customHeight="1">
      <c r="D913" s="15"/>
      <c r="G913" s="15"/>
      <c r="K913" s="16"/>
      <c r="M913" s="15"/>
    </row>
    <row r="914" ht="14.25" customHeight="1">
      <c r="D914" s="15"/>
      <c r="G914" s="15"/>
      <c r="K914" s="16"/>
      <c r="M914" s="15"/>
    </row>
    <row r="915" ht="14.25" customHeight="1">
      <c r="D915" s="15"/>
      <c r="G915" s="15"/>
      <c r="K915" s="16"/>
      <c r="M915" s="15"/>
    </row>
    <row r="916" ht="14.25" customHeight="1">
      <c r="D916" s="15"/>
      <c r="G916" s="15"/>
      <c r="K916" s="16"/>
      <c r="M916" s="15"/>
    </row>
    <row r="917" ht="14.25" customHeight="1">
      <c r="D917" s="15"/>
      <c r="G917" s="15"/>
      <c r="K917" s="16"/>
      <c r="M917" s="15"/>
    </row>
    <row r="918" ht="14.25" customHeight="1">
      <c r="D918" s="15"/>
      <c r="G918" s="15"/>
      <c r="K918" s="16"/>
      <c r="M918" s="15"/>
    </row>
    <row r="919" ht="14.25" customHeight="1">
      <c r="D919" s="15"/>
      <c r="G919" s="15"/>
      <c r="K919" s="16"/>
      <c r="M919" s="15"/>
    </row>
    <row r="920" ht="14.25" customHeight="1">
      <c r="D920" s="15"/>
      <c r="G920" s="15"/>
      <c r="K920" s="16"/>
      <c r="M920" s="15"/>
    </row>
    <row r="921" ht="14.25" customHeight="1">
      <c r="D921" s="15"/>
      <c r="G921" s="15"/>
      <c r="K921" s="16"/>
      <c r="M921" s="15"/>
    </row>
    <row r="922" ht="14.25" customHeight="1">
      <c r="D922" s="15"/>
      <c r="G922" s="15"/>
      <c r="K922" s="16"/>
      <c r="M922" s="15"/>
    </row>
    <row r="923" ht="14.25" customHeight="1">
      <c r="D923" s="15"/>
      <c r="G923" s="15"/>
      <c r="K923" s="16"/>
      <c r="M923" s="15"/>
    </row>
    <row r="924" ht="14.25" customHeight="1">
      <c r="D924" s="15"/>
      <c r="G924" s="15"/>
      <c r="K924" s="16"/>
      <c r="M924" s="15"/>
    </row>
    <row r="925" ht="14.25" customHeight="1">
      <c r="D925" s="15"/>
      <c r="G925" s="15"/>
      <c r="K925" s="16"/>
      <c r="M925" s="15"/>
    </row>
    <row r="926" ht="14.25" customHeight="1">
      <c r="D926" s="15"/>
      <c r="G926" s="15"/>
      <c r="K926" s="16"/>
      <c r="M926" s="15"/>
    </row>
    <row r="927" ht="14.25" customHeight="1">
      <c r="D927" s="15"/>
      <c r="G927" s="15"/>
      <c r="K927" s="16"/>
      <c r="M927" s="15"/>
    </row>
    <row r="928" ht="14.25" customHeight="1">
      <c r="D928" s="15"/>
      <c r="G928" s="15"/>
      <c r="K928" s="16"/>
      <c r="M928" s="15"/>
    </row>
    <row r="929" ht="14.25" customHeight="1">
      <c r="D929" s="15"/>
      <c r="G929" s="15"/>
      <c r="K929" s="16"/>
      <c r="M929" s="15"/>
    </row>
    <row r="930" ht="14.25" customHeight="1">
      <c r="D930" s="15"/>
      <c r="G930" s="15"/>
      <c r="K930" s="16"/>
      <c r="M930" s="15"/>
    </row>
    <row r="931" ht="14.25" customHeight="1">
      <c r="D931" s="15"/>
      <c r="G931" s="15"/>
      <c r="K931" s="16"/>
      <c r="M931" s="15"/>
    </row>
    <row r="932" ht="14.25" customHeight="1">
      <c r="D932" s="15"/>
      <c r="G932" s="15"/>
      <c r="K932" s="16"/>
      <c r="M932" s="15"/>
    </row>
    <row r="933" ht="14.25" customHeight="1">
      <c r="D933" s="15"/>
      <c r="G933" s="15"/>
      <c r="K933" s="16"/>
      <c r="M933" s="15"/>
    </row>
    <row r="934" ht="14.25" customHeight="1">
      <c r="D934" s="15"/>
      <c r="G934" s="15"/>
      <c r="K934" s="16"/>
      <c r="M934" s="15"/>
    </row>
    <row r="935" ht="14.25" customHeight="1">
      <c r="D935" s="15"/>
      <c r="G935" s="15"/>
      <c r="K935" s="16"/>
      <c r="M935" s="15"/>
    </row>
    <row r="936" ht="14.25" customHeight="1">
      <c r="D936" s="15"/>
      <c r="G936" s="15"/>
      <c r="K936" s="16"/>
      <c r="M936" s="15"/>
    </row>
    <row r="937" ht="14.25" customHeight="1">
      <c r="D937" s="15"/>
      <c r="G937" s="15"/>
      <c r="K937" s="16"/>
      <c r="M937" s="15"/>
    </row>
    <row r="938" ht="14.25" customHeight="1">
      <c r="D938" s="15"/>
      <c r="G938" s="15"/>
      <c r="K938" s="16"/>
      <c r="M938" s="15"/>
    </row>
    <row r="939" ht="14.25" customHeight="1">
      <c r="D939" s="15"/>
      <c r="G939" s="15"/>
      <c r="K939" s="16"/>
      <c r="M939" s="15"/>
    </row>
    <row r="940" ht="14.25" customHeight="1">
      <c r="D940" s="15"/>
      <c r="G940" s="15"/>
      <c r="K940" s="16"/>
      <c r="M940" s="15"/>
    </row>
    <row r="941" ht="14.25" customHeight="1">
      <c r="D941" s="15"/>
      <c r="G941" s="15"/>
      <c r="K941" s="16"/>
      <c r="M941" s="15"/>
    </row>
    <row r="942" ht="14.25" customHeight="1">
      <c r="D942" s="15"/>
      <c r="G942" s="15"/>
      <c r="K942" s="16"/>
      <c r="M942" s="15"/>
    </row>
    <row r="943" ht="14.25" customHeight="1">
      <c r="D943" s="15"/>
      <c r="G943" s="15"/>
      <c r="K943" s="16"/>
      <c r="M943" s="15"/>
    </row>
    <row r="944" ht="14.25" customHeight="1">
      <c r="D944" s="15"/>
      <c r="G944" s="15"/>
      <c r="K944" s="16"/>
      <c r="M944" s="15"/>
    </row>
    <row r="945" ht="14.25" customHeight="1">
      <c r="D945" s="15"/>
      <c r="G945" s="15"/>
      <c r="K945" s="16"/>
      <c r="M945" s="15"/>
    </row>
    <row r="946" ht="14.25" customHeight="1">
      <c r="D946" s="15"/>
      <c r="G946" s="15"/>
      <c r="K946" s="16"/>
      <c r="M946" s="15"/>
    </row>
    <row r="947" ht="14.25" customHeight="1">
      <c r="D947" s="15"/>
      <c r="G947" s="15"/>
      <c r="K947" s="16"/>
      <c r="M947" s="15"/>
    </row>
    <row r="948" ht="14.25" customHeight="1">
      <c r="D948" s="15"/>
      <c r="G948" s="15"/>
      <c r="K948" s="16"/>
      <c r="M948" s="15"/>
    </row>
    <row r="949" ht="14.25" customHeight="1">
      <c r="D949" s="15"/>
      <c r="G949" s="15"/>
      <c r="K949" s="16"/>
      <c r="M949" s="15"/>
    </row>
    <row r="950" ht="14.25" customHeight="1">
      <c r="D950" s="15"/>
      <c r="G950" s="15"/>
      <c r="K950" s="16"/>
      <c r="M950" s="15"/>
    </row>
    <row r="951" ht="14.25" customHeight="1">
      <c r="D951" s="15"/>
      <c r="G951" s="15"/>
      <c r="K951" s="16"/>
      <c r="M951" s="15"/>
    </row>
    <row r="952" ht="14.25" customHeight="1">
      <c r="D952" s="15"/>
      <c r="G952" s="15"/>
      <c r="K952" s="16"/>
      <c r="M952" s="15"/>
    </row>
    <row r="953" ht="14.25" customHeight="1">
      <c r="D953" s="15"/>
      <c r="G953" s="15"/>
      <c r="K953" s="16"/>
      <c r="M953" s="15"/>
    </row>
    <row r="954" ht="14.25" customHeight="1">
      <c r="D954" s="15"/>
      <c r="G954" s="15"/>
      <c r="K954" s="16"/>
      <c r="M954" s="15"/>
    </row>
    <row r="955" ht="14.25" customHeight="1">
      <c r="D955" s="15"/>
      <c r="G955" s="15"/>
      <c r="K955" s="16"/>
      <c r="M955" s="15"/>
    </row>
    <row r="956" ht="14.25" customHeight="1">
      <c r="D956" s="15"/>
      <c r="G956" s="15"/>
      <c r="K956" s="16"/>
      <c r="M956" s="15"/>
    </row>
    <row r="957" ht="14.25" customHeight="1">
      <c r="D957" s="15"/>
      <c r="G957" s="15"/>
      <c r="K957" s="16"/>
      <c r="M957" s="15"/>
    </row>
    <row r="958" ht="14.25" customHeight="1">
      <c r="D958" s="15"/>
      <c r="G958" s="15"/>
      <c r="K958" s="16"/>
      <c r="M958" s="15"/>
    </row>
    <row r="959" ht="14.25" customHeight="1">
      <c r="D959" s="15"/>
      <c r="G959" s="15"/>
      <c r="K959" s="16"/>
      <c r="M959" s="15"/>
    </row>
    <row r="960" ht="14.25" customHeight="1">
      <c r="D960" s="15"/>
      <c r="G960" s="15"/>
      <c r="K960" s="16"/>
      <c r="M960" s="15"/>
    </row>
    <row r="961" ht="14.25" customHeight="1">
      <c r="D961" s="15"/>
      <c r="G961" s="15"/>
      <c r="K961" s="16"/>
      <c r="M961" s="15"/>
    </row>
    <row r="962" ht="14.25" customHeight="1">
      <c r="D962" s="15"/>
      <c r="G962" s="15"/>
      <c r="K962" s="16"/>
      <c r="M962" s="15"/>
    </row>
    <row r="963" ht="14.25" customHeight="1">
      <c r="D963" s="15"/>
      <c r="G963" s="15"/>
      <c r="K963" s="16"/>
      <c r="M963" s="15"/>
    </row>
    <row r="964" ht="14.25" customHeight="1">
      <c r="D964" s="15"/>
      <c r="G964" s="15"/>
      <c r="K964" s="16"/>
      <c r="M964" s="15"/>
    </row>
    <row r="965" ht="14.25" customHeight="1">
      <c r="D965" s="15"/>
      <c r="G965" s="15"/>
      <c r="K965" s="16"/>
      <c r="M965" s="15"/>
    </row>
    <row r="966" ht="14.25" customHeight="1">
      <c r="D966" s="15"/>
      <c r="G966" s="15"/>
      <c r="K966" s="16"/>
      <c r="M966" s="15"/>
    </row>
    <row r="967" ht="14.25" customHeight="1">
      <c r="D967" s="15"/>
      <c r="G967" s="15"/>
      <c r="K967" s="16"/>
      <c r="M967" s="15"/>
    </row>
    <row r="968" ht="14.25" customHeight="1">
      <c r="D968" s="15"/>
      <c r="G968" s="15"/>
      <c r="K968" s="16"/>
      <c r="M968" s="15"/>
    </row>
    <row r="969" ht="14.25" customHeight="1">
      <c r="D969" s="15"/>
      <c r="G969" s="15"/>
      <c r="K969" s="16"/>
      <c r="M969" s="15"/>
    </row>
    <row r="970" ht="14.25" customHeight="1">
      <c r="D970" s="15"/>
      <c r="G970" s="15"/>
      <c r="K970" s="16"/>
      <c r="M970" s="15"/>
    </row>
    <row r="971" ht="14.25" customHeight="1">
      <c r="D971" s="15"/>
      <c r="G971" s="15"/>
      <c r="K971" s="16"/>
      <c r="M971" s="15"/>
    </row>
    <row r="972" ht="14.25" customHeight="1">
      <c r="D972" s="15"/>
      <c r="G972" s="15"/>
      <c r="K972" s="16"/>
      <c r="M972" s="15"/>
    </row>
    <row r="973" ht="14.25" customHeight="1">
      <c r="D973" s="15"/>
      <c r="G973" s="15"/>
      <c r="K973" s="16"/>
      <c r="M973" s="15"/>
    </row>
    <row r="974" ht="14.25" customHeight="1">
      <c r="D974" s="15"/>
      <c r="G974" s="15"/>
      <c r="K974" s="16"/>
      <c r="M974" s="15"/>
    </row>
    <row r="975" ht="14.25" customHeight="1">
      <c r="D975" s="15"/>
      <c r="G975" s="15"/>
      <c r="K975" s="16"/>
      <c r="M975" s="15"/>
    </row>
    <row r="976" ht="14.25" customHeight="1">
      <c r="D976" s="15"/>
      <c r="G976" s="15"/>
      <c r="K976" s="16"/>
      <c r="M976" s="15"/>
    </row>
    <row r="977" ht="14.25" customHeight="1">
      <c r="D977" s="15"/>
      <c r="G977" s="15"/>
      <c r="K977" s="16"/>
      <c r="M977" s="15"/>
    </row>
    <row r="978" ht="14.25" customHeight="1">
      <c r="D978" s="15"/>
      <c r="G978" s="15"/>
      <c r="K978" s="16"/>
      <c r="M978" s="15"/>
    </row>
    <row r="979" ht="14.25" customHeight="1">
      <c r="D979" s="15"/>
      <c r="G979" s="15"/>
      <c r="K979" s="16"/>
      <c r="M979" s="15"/>
    </row>
    <row r="980" ht="14.25" customHeight="1">
      <c r="D980" s="15"/>
      <c r="G980" s="15"/>
      <c r="K980" s="16"/>
      <c r="M980" s="15"/>
    </row>
    <row r="981" ht="14.25" customHeight="1">
      <c r="D981" s="15"/>
      <c r="G981" s="15"/>
      <c r="K981" s="16"/>
      <c r="M981" s="15"/>
    </row>
    <row r="982" ht="14.25" customHeight="1">
      <c r="D982" s="15"/>
      <c r="G982" s="15"/>
      <c r="K982" s="16"/>
      <c r="M982" s="15"/>
    </row>
    <row r="983" ht="14.25" customHeight="1">
      <c r="D983" s="15"/>
      <c r="G983" s="15"/>
      <c r="K983" s="16"/>
      <c r="M983" s="15"/>
    </row>
    <row r="984" ht="14.25" customHeight="1">
      <c r="D984" s="15"/>
      <c r="G984" s="15"/>
      <c r="K984" s="16"/>
      <c r="M984" s="15"/>
    </row>
    <row r="985" ht="14.25" customHeight="1">
      <c r="D985" s="15"/>
      <c r="G985" s="15"/>
      <c r="K985" s="16"/>
      <c r="M985" s="15"/>
    </row>
    <row r="986" ht="14.25" customHeight="1">
      <c r="D986" s="15"/>
      <c r="G986" s="15"/>
      <c r="K986" s="16"/>
      <c r="M986" s="15"/>
    </row>
    <row r="987" ht="14.25" customHeight="1">
      <c r="D987" s="15"/>
      <c r="G987" s="15"/>
      <c r="K987" s="16"/>
      <c r="M987" s="15"/>
    </row>
    <row r="988" ht="14.25" customHeight="1">
      <c r="D988" s="15"/>
      <c r="G988" s="15"/>
      <c r="K988" s="16"/>
      <c r="M988" s="15"/>
    </row>
    <row r="989" ht="14.25" customHeight="1">
      <c r="D989" s="15"/>
      <c r="G989" s="15"/>
      <c r="K989" s="16"/>
      <c r="M989" s="15"/>
    </row>
    <row r="990" ht="14.25" customHeight="1">
      <c r="D990" s="15"/>
      <c r="G990" s="15"/>
      <c r="K990" s="16"/>
      <c r="M990" s="15"/>
    </row>
    <row r="991" ht="14.25" customHeight="1">
      <c r="D991" s="15"/>
      <c r="G991" s="15"/>
      <c r="K991" s="16"/>
      <c r="M991" s="15"/>
    </row>
    <row r="992" ht="14.25" customHeight="1">
      <c r="D992" s="15"/>
      <c r="G992" s="15"/>
      <c r="K992" s="16"/>
      <c r="M992" s="15"/>
    </row>
    <row r="993" ht="14.25" customHeight="1">
      <c r="D993" s="15"/>
      <c r="G993" s="15"/>
      <c r="K993" s="16"/>
      <c r="M993" s="15"/>
    </row>
    <row r="994" ht="14.25" customHeight="1">
      <c r="D994" s="15"/>
      <c r="G994" s="15"/>
      <c r="K994" s="16"/>
      <c r="M994" s="15"/>
    </row>
    <row r="995" ht="14.25" customHeight="1">
      <c r="D995" s="15"/>
      <c r="G995" s="15"/>
      <c r="K995" s="16"/>
      <c r="M995" s="15"/>
    </row>
    <row r="996" ht="14.25" customHeight="1">
      <c r="D996" s="15"/>
      <c r="G996" s="15"/>
      <c r="K996" s="16"/>
      <c r="M996" s="15"/>
    </row>
    <row r="997" ht="14.25" customHeight="1">
      <c r="D997" s="15"/>
      <c r="G997" s="15"/>
      <c r="K997" s="16"/>
      <c r="M997" s="15"/>
    </row>
    <row r="998" ht="14.25" customHeight="1">
      <c r="D998" s="15"/>
      <c r="G998" s="15"/>
      <c r="K998" s="16"/>
      <c r="M998" s="15"/>
    </row>
    <row r="999" ht="14.25" customHeight="1">
      <c r="D999" s="15"/>
      <c r="G999" s="15"/>
      <c r="K999" s="16"/>
      <c r="M999" s="15"/>
    </row>
    <row r="1000" ht="14.25" customHeight="1">
      <c r="D1000" s="15"/>
      <c r="G1000" s="15"/>
      <c r="K1000" s="16"/>
      <c r="M1000" s="15"/>
    </row>
    <row r="1001" ht="14.25" customHeight="1">
      <c r="D1001" s="15"/>
      <c r="G1001" s="15"/>
      <c r="K1001" s="16"/>
      <c r="M1001" s="15"/>
    </row>
    <row r="1002" ht="14.25" customHeight="1">
      <c r="D1002" s="15"/>
      <c r="G1002" s="15"/>
      <c r="K1002" s="16"/>
      <c r="M1002" s="15"/>
    </row>
    <row r="1003" ht="14.25" customHeight="1">
      <c r="D1003" s="15"/>
      <c r="G1003" s="15"/>
      <c r="K1003" s="16"/>
      <c r="M1003" s="15"/>
    </row>
    <row r="1004" ht="14.25" customHeight="1">
      <c r="D1004" s="15"/>
      <c r="G1004" s="15"/>
      <c r="K1004" s="16"/>
      <c r="M1004" s="15"/>
    </row>
    <row r="1005" ht="14.25" customHeight="1">
      <c r="D1005" s="15"/>
      <c r="G1005" s="15"/>
      <c r="K1005" s="16"/>
      <c r="M1005" s="15"/>
    </row>
    <row r="1006" ht="14.25" customHeight="1">
      <c r="D1006" s="15"/>
      <c r="G1006" s="15"/>
      <c r="K1006" s="16"/>
      <c r="M1006" s="15"/>
    </row>
    <row r="1007" ht="14.25" customHeight="1">
      <c r="D1007" s="15"/>
      <c r="G1007" s="15"/>
      <c r="K1007" s="16"/>
      <c r="M1007" s="15"/>
    </row>
    <row r="1008" ht="14.25" customHeight="1">
      <c r="D1008" s="15"/>
      <c r="G1008" s="15"/>
      <c r="K1008" s="16"/>
      <c r="M1008" s="15"/>
    </row>
  </sheetData>
  <autoFilter ref="$A$2:$AD$52">
    <sortState ref="A2:AD52">
      <sortCondition descending="1" ref="J2:J52"/>
      <sortCondition ref="A2:A52"/>
      <sortCondition descending="1" ref="F2:F52"/>
      <sortCondition descending="1" ref="E2:E52"/>
      <sortCondition descending="1" ref="C2:C52"/>
      <sortCondition descending="1" ref="L2:L52"/>
      <sortCondition descending="1" ref="B2:B52"/>
      <sortCondition descending="1" ref="I2:I52"/>
      <sortCondition descending="1" ref="K2:K52"/>
      <sortCondition descending="1" ref="H2:H52"/>
      <sortCondition descending="1" ref="M2:M52"/>
      <sortCondition ref="N2:N52"/>
      <sortCondition descending="1" ref="G2:G52"/>
      <sortCondition descending="1" ref="D2:D52"/>
    </sortState>
  </autoFilter>
  <mergeCells count="1">
    <mergeCell ref="A1:N1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71"/>
    <col customWidth="1" min="2" max="2" width="17.14"/>
    <col customWidth="1" min="3" max="3" width="24.71"/>
    <col customWidth="1" min="4" max="4" width="11.57"/>
    <col customWidth="1" min="5" max="5" width="5.29"/>
    <col customWidth="1" min="6" max="6" width="18.43"/>
    <col customWidth="1" min="7" max="8" width="23.14"/>
  </cols>
  <sheetData>
    <row r="1">
      <c r="A1" s="17" t="s">
        <v>65</v>
      </c>
    </row>
    <row r="2">
      <c r="A2" s="18" t="s">
        <v>66</v>
      </c>
      <c r="B2" s="18" t="s">
        <v>67</v>
      </c>
      <c r="C2" s="18" t="s">
        <v>68</v>
      </c>
      <c r="D2" s="18" t="s">
        <v>69</v>
      </c>
      <c r="I2" s="17"/>
    </row>
    <row r="3">
      <c r="A3" s="19">
        <f>SUM(B4:B18)</f>
        <v>55.8</v>
      </c>
      <c r="B3" s="20"/>
      <c r="C3" s="19">
        <f>SUM(D4:D21)</f>
        <v>56.7</v>
      </c>
      <c r="D3" s="20"/>
      <c r="G3" s="21" t="s">
        <v>70</v>
      </c>
      <c r="I3" s="17"/>
    </row>
    <row r="4">
      <c r="A4" s="22" t="s">
        <v>71</v>
      </c>
      <c r="B4" s="23">
        <f>VLOOKUP(A4,Guerreros!$A$1:Guerreros!$B51,2,FALSE())</f>
        <v>6.4</v>
      </c>
      <c r="C4" s="22" t="s">
        <v>72</v>
      </c>
      <c r="D4" s="23">
        <f>VLOOKUP(C4,Guerreros!$A$1:Guerreros!$B51,2,FALSE())</f>
        <v>7.7</v>
      </c>
      <c r="F4" s="24"/>
      <c r="G4" s="25" t="str">
        <f>A4</f>
        <v>Diego Ortega Arquero</v>
      </c>
      <c r="H4" s="26"/>
      <c r="I4" s="17"/>
    </row>
    <row r="5">
      <c r="A5" s="22" t="s">
        <v>73</v>
      </c>
      <c r="B5" s="23">
        <f>VLOOKUP(A5,Guerreros!$A$1:Guerreros!$B58,2,FALSE())</f>
        <v>5.2</v>
      </c>
      <c r="C5" s="22" t="s">
        <v>74</v>
      </c>
      <c r="D5" s="23">
        <f>VLOOKUP(C5,Guerreros!$A$1:Guerreros!$B72,2,FALSE())</f>
        <v>4.2</v>
      </c>
      <c r="F5" s="27" t="s">
        <v>75</v>
      </c>
      <c r="G5" s="17" t="s">
        <v>76</v>
      </c>
      <c r="H5" s="17" t="s">
        <v>77</v>
      </c>
      <c r="I5" s="17" t="s">
        <v>78</v>
      </c>
    </row>
    <row r="6">
      <c r="A6" s="22" t="s">
        <v>79</v>
      </c>
      <c r="B6" s="23">
        <f>VLOOKUP(A6,Guerreros!$A$1:Guerreros!$B53,2,FALSE())</f>
        <v>7.4</v>
      </c>
      <c r="C6" s="22" t="s">
        <v>20</v>
      </c>
      <c r="D6" s="23">
        <f>VLOOKUP(C6,Guerreros!$A$1:Guerreros!$B59,2,FALSE())</f>
        <v>7.2</v>
      </c>
      <c r="F6" s="17" t="s">
        <v>80</v>
      </c>
      <c r="G6" s="17" t="s">
        <v>81</v>
      </c>
      <c r="H6" s="17" t="s">
        <v>82</v>
      </c>
    </row>
    <row r="7">
      <c r="A7" s="22" t="s">
        <v>83</v>
      </c>
      <c r="B7" s="23">
        <f>VLOOKUP(A7,Guerreros!$A$1:Guerreros!$B54,2,FALSE())</f>
        <v>5.5</v>
      </c>
      <c r="C7" s="22" t="s">
        <v>30</v>
      </c>
      <c r="D7" s="23">
        <f>VLOOKUP(C7,Guerreros!$A$1:Guerreros!$B54,2,FALSE())</f>
        <v>5.1</v>
      </c>
      <c r="G7" s="17" t="s">
        <v>84</v>
      </c>
    </row>
    <row r="8">
      <c r="A8" s="22" t="s">
        <v>55</v>
      </c>
      <c r="B8" s="23">
        <f>VLOOKUP(A8,Guerreros!$A$1:Guerreros!$B57,2,FALSE())</f>
        <v>5.6</v>
      </c>
      <c r="C8" s="22" t="s">
        <v>16</v>
      </c>
      <c r="D8" s="23">
        <f>VLOOKUP(C8,Guerreros!$A$1:Guerreros!$B57,2,FALSE())</f>
        <v>8.8</v>
      </c>
    </row>
    <row r="9">
      <c r="A9" s="28" t="s">
        <v>35</v>
      </c>
      <c r="B9" s="29">
        <f>VLOOKUP(A9,Guerreros!$A$1:Guerreros!$B58,2,FALSE())</f>
        <v>8.6</v>
      </c>
      <c r="C9" s="28" t="s">
        <v>85</v>
      </c>
      <c r="D9" s="29">
        <f>VLOOKUP(C9,Guerreros!$A$1:Guerreros!$B58,2,FALSE())</f>
        <v>7</v>
      </c>
      <c r="F9" s="24"/>
      <c r="H9" s="24"/>
    </row>
    <row r="10">
      <c r="A10" s="28" t="s">
        <v>29</v>
      </c>
      <c r="B10" s="29">
        <f>VLOOKUP(A10,Guerreros!$A$1:Guerreros!$B59,2,FALSE())</f>
        <v>8</v>
      </c>
      <c r="C10" s="28" t="s">
        <v>25</v>
      </c>
      <c r="D10" s="29">
        <f>VLOOKUP(C10,Guerreros!$A$1:Guerreros!$B59,2,FALSE())</f>
        <v>6</v>
      </c>
      <c r="F10" s="24"/>
      <c r="G10" s="30" t="s">
        <v>86</v>
      </c>
      <c r="I10" s="17"/>
    </row>
    <row r="11">
      <c r="A11" s="28" t="s">
        <v>18</v>
      </c>
      <c r="B11" s="29">
        <f>VLOOKUP(A11,Guerreros!$A$1:Guerreros!$B60,2,FALSE())</f>
        <v>5.3</v>
      </c>
      <c r="C11" s="28" t="s">
        <v>17</v>
      </c>
      <c r="D11" s="29">
        <f>VLOOKUP(C11,Guerreros!$A$1:Guerreros!$B60,2,FALSE())</f>
        <v>6.5</v>
      </c>
      <c r="F11" s="24"/>
      <c r="G11" s="25" t="str">
        <f>C4</f>
        <v>Willian Omaña</v>
      </c>
      <c r="H11" s="26"/>
      <c r="I11" s="17"/>
      <c r="K11" s="31"/>
    </row>
    <row r="12">
      <c r="A12" s="32" t="s">
        <v>24</v>
      </c>
      <c r="B12" s="33">
        <f>VLOOKUP(A12,Guerreros!$A$1:Guerreros!$B61,2,FALSE())</f>
        <v>3.8</v>
      </c>
      <c r="C12" s="32" t="s">
        <v>28</v>
      </c>
      <c r="D12" s="33">
        <f>VLOOKUP(C12,Guerreros!$A$1:Guerreros!$B61,2,FALSE())</f>
        <v>4.2</v>
      </c>
      <c r="F12" s="17" t="s">
        <v>87</v>
      </c>
      <c r="G12" s="17" t="s">
        <v>88</v>
      </c>
      <c r="H12" s="17" t="s">
        <v>89</v>
      </c>
      <c r="I12" s="17" t="s">
        <v>90</v>
      </c>
    </row>
    <row r="13">
      <c r="A13" s="32" t="s">
        <v>91</v>
      </c>
      <c r="B13" s="33" t="str">
        <f>VLOOKUP(A13,Guerreros!$A$1:Guerreros!$B51,2,FALSE())</f>
        <v>PUNTAJE</v>
      </c>
      <c r="C13" s="32" t="s">
        <v>91</v>
      </c>
      <c r="D13" s="33" t="str">
        <f>VLOOKUP(C13,Guerreros!$A$1:Guerreros!$B62,2,FALSE())</f>
        <v>PUNTAJE</v>
      </c>
      <c r="F13" s="17" t="s">
        <v>92</v>
      </c>
      <c r="G13" s="17" t="s">
        <v>93</v>
      </c>
      <c r="H13" s="17" t="s">
        <v>94</v>
      </c>
    </row>
    <row r="14">
      <c r="A14" s="34" t="s">
        <v>91</v>
      </c>
      <c r="B14" s="35" t="str">
        <f>VLOOKUP(A14,Guerreros!$A$1:Guerreros!$B63,2,FALSE())</f>
        <v>PUNTAJE</v>
      </c>
      <c r="C14" s="34" t="s">
        <v>91</v>
      </c>
      <c r="D14" s="35" t="str">
        <f>VLOOKUP(C14,Guerreros!$A$1:Guerreros!$B63,2,FALSE())</f>
        <v>PUNTAJE</v>
      </c>
      <c r="G14" s="17" t="s">
        <v>95</v>
      </c>
    </row>
    <row r="15">
      <c r="A15" s="34" t="s">
        <v>91</v>
      </c>
      <c r="B15" s="35" t="str">
        <f>VLOOKUP(A15,Guerreros!$A$1:Guerreros!$B64,2,FALSE())</f>
        <v>PUNTAJE</v>
      </c>
      <c r="C15" s="34" t="s">
        <v>91</v>
      </c>
      <c r="D15" s="35" t="str">
        <f>VLOOKUP(C15,Guerreros!$A$1:Guerreros!$B64,2,FALSE())</f>
        <v>PUNTAJE</v>
      </c>
    </row>
    <row r="16">
      <c r="A16" s="34" t="s">
        <v>91</v>
      </c>
      <c r="B16" s="35" t="str">
        <f>VLOOKUP(A16,Guerreros!$A$1:Guerreros!$B65,2,FALSE())</f>
        <v>PUNTAJE</v>
      </c>
      <c r="C16" s="34" t="s">
        <v>91</v>
      </c>
      <c r="D16" s="35" t="str">
        <f>VLOOKUP(C16,Guerreros!$A$1:Guerreros!$B65,2,FALSE())</f>
        <v>PUNTAJE</v>
      </c>
      <c r="K16" s="31"/>
    </row>
    <row r="17">
      <c r="A17" s="34" t="s">
        <v>91</v>
      </c>
      <c r="B17" s="35" t="str">
        <f>VLOOKUP(A17,Guerreros!$A$1:Guerreros!$B66,2,FALSE())</f>
        <v>PUNTAJE</v>
      </c>
      <c r="C17" s="34" t="s">
        <v>91</v>
      </c>
      <c r="D17" s="35" t="str">
        <f>VLOOKUP(C17,Guerreros!$A$1:Guerreros!$B66,2,FALSE())</f>
        <v>PUNTAJE</v>
      </c>
    </row>
    <row r="18">
      <c r="A18" s="34" t="s">
        <v>91</v>
      </c>
      <c r="B18" s="35" t="str">
        <f>VLOOKUP(A18,Guerreros!$A$1:Guerreros!$B67,2,FALSE())</f>
        <v>PUNTAJE</v>
      </c>
      <c r="C18" s="34" t="s">
        <v>91</v>
      </c>
      <c r="D18" s="35" t="str">
        <f>VLOOKUP(C18,Guerreros!$A$1:Guerreros!$B67,2,FALSE())</f>
        <v>PUNTAJE</v>
      </c>
      <c r="H18" s="31"/>
    </row>
    <row r="19">
      <c r="A19" s="34" t="s">
        <v>91</v>
      </c>
      <c r="B19" s="35" t="str">
        <f>VLOOKUP(A19,Guerreros!$A$1:Guerreros!$B68,2,FALSE())</f>
        <v>PUNTAJE</v>
      </c>
      <c r="C19" s="34" t="s">
        <v>91</v>
      </c>
      <c r="D19" s="35" t="str">
        <f>VLOOKUP(C19,Guerreros!$A$1:Guerreros!$B68,2,FALSE())</f>
        <v>PUNTAJE</v>
      </c>
    </row>
    <row r="20">
      <c r="A20" s="34" t="s">
        <v>91</v>
      </c>
      <c r="B20" s="35" t="str">
        <f>VLOOKUP(A20,Guerreros!$A$1:Guerreros!$B69,2,FALSE())</f>
        <v>PUNTAJE</v>
      </c>
      <c r="C20" s="34" t="s">
        <v>91</v>
      </c>
      <c r="D20" s="35" t="str">
        <f>VLOOKUP(C20,Guerreros!$A$1:Guerreros!$B69,2,FALSE())</f>
        <v>PUNTAJE</v>
      </c>
    </row>
    <row r="21">
      <c r="A21" s="34" t="s">
        <v>91</v>
      </c>
      <c r="B21" s="35" t="str">
        <f>VLOOKUP(A21,Guerreros!$A$1:Guerreros!$B70,2,FALSE())</f>
        <v>PUNTAJE</v>
      </c>
      <c r="C21" s="34" t="s">
        <v>91</v>
      </c>
      <c r="D21" s="35" t="str">
        <f>VLOOKUP(C21,Guerreros!$A$1:Guerreros!$B70,2,FALSE())</f>
        <v>PUNTAJE</v>
      </c>
    </row>
    <row r="22">
      <c r="B22" s="36"/>
      <c r="D22" s="36"/>
    </row>
    <row r="23">
      <c r="B23" s="36">
        <v>0.0</v>
      </c>
      <c r="D23" s="17">
        <v>0.0</v>
      </c>
    </row>
    <row r="32">
      <c r="K32" s="37"/>
    </row>
  </sheetData>
  <mergeCells count="6">
    <mergeCell ref="A3:B3"/>
    <mergeCell ref="C3:D3"/>
    <mergeCell ref="G3:H3"/>
    <mergeCell ref="G4:H4"/>
    <mergeCell ref="G10:H10"/>
    <mergeCell ref="G11:H11"/>
  </mergeCells>
  <dataValidations>
    <dataValidation type="list" allowBlank="1" showErrorMessage="1" sqref="A4:A21 C4:C21">
      <formula1>Guerreros!$A$1:$A$73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71"/>
    <col customWidth="1" min="2" max="2" width="9.0"/>
    <col customWidth="1" min="3" max="3" width="18.43"/>
    <col customWidth="1" min="4" max="4" width="8.29"/>
    <col customWidth="1" min="7" max="7" width="5.29"/>
    <col customWidth="1" min="8" max="8" width="2.29"/>
  </cols>
  <sheetData>
    <row r="2">
      <c r="A2" s="36" t="s">
        <v>96</v>
      </c>
      <c r="B2" s="36" t="s">
        <v>97</v>
      </c>
      <c r="C2" s="36" t="s">
        <v>98</v>
      </c>
      <c r="D2" s="36" t="s">
        <v>97</v>
      </c>
    </row>
    <row r="3">
      <c r="A3" s="38" t="str">
        <f>SUM(B4:B23)</f>
        <v>#N/A</v>
      </c>
      <c r="B3" s="20"/>
      <c r="C3" s="39" t="str">
        <f>SUM(D4:D23)</f>
        <v>#N/A</v>
      </c>
      <c r="D3" s="20"/>
    </row>
    <row r="4">
      <c r="A4" s="34" t="s">
        <v>99</v>
      </c>
      <c r="B4" s="36" t="str">
        <f>VLOOKUP(A4,Guerreros!$A$1:Guerreros!$B51,2,FALSE())</f>
        <v>#N/A</v>
      </c>
      <c r="C4" s="34" t="s">
        <v>99</v>
      </c>
      <c r="D4" s="36" t="str">
        <f>VLOOKUP(C4,Guerreros!$A$1:Guerreros!$B51,2,FALSE())</f>
        <v>#N/A</v>
      </c>
    </row>
    <row r="5">
      <c r="A5" s="34" t="s">
        <v>99</v>
      </c>
      <c r="B5" s="36" t="str">
        <f>VLOOKUP(A5,Guerreros!$A$1:Guerreros!$B52,2,FALSE())</f>
        <v>#N/A</v>
      </c>
      <c r="C5" s="34" t="s">
        <v>99</v>
      </c>
      <c r="D5" s="36" t="str">
        <f>VLOOKUP(C5,Guerreros!$A$1:Guerreros!$B52,2,FALSE())</f>
        <v>#N/A</v>
      </c>
    </row>
    <row r="6">
      <c r="A6" s="34" t="s">
        <v>99</v>
      </c>
      <c r="B6" s="36" t="str">
        <f>VLOOKUP(A6,Guerreros!$A$1:Guerreros!$B53,2,FALSE())</f>
        <v>#N/A</v>
      </c>
      <c r="C6" s="34" t="s">
        <v>99</v>
      </c>
      <c r="D6" s="36" t="str">
        <f>VLOOKUP(C6,Guerreros!$A$1:Guerreros!$B53,2,FALSE())</f>
        <v>#N/A</v>
      </c>
    </row>
    <row r="7">
      <c r="A7" s="34" t="s">
        <v>99</v>
      </c>
      <c r="B7" s="36" t="str">
        <f>VLOOKUP(A7,Guerreros!$A$1:Guerreros!$B54,2,FALSE())</f>
        <v>#N/A</v>
      </c>
      <c r="C7" s="34" t="s">
        <v>99</v>
      </c>
      <c r="D7" s="36" t="str">
        <f>VLOOKUP(C7,Guerreros!$A$1:Guerreros!$B54,2,FALSE())</f>
        <v>#N/A</v>
      </c>
    </row>
    <row r="8">
      <c r="A8" s="34" t="s">
        <v>99</v>
      </c>
      <c r="B8" s="36" t="str">
        <f>VLOOKUP(A8,Guerreros!$A$1:Guerreros!$B57,2,FALSE())</f>
        <v>#N/A</v>
      </c>
      <c r="C8" s="34" t="s">
        <v>99</v>
      </c>
      <c r="D8" s="36" t="str">
        <f>VLOOKUP(C8,Guerreros!$A$1:Guerreros!$B57,2,FALSE())</f>
        <v>#N/A</v>
      </c>
    </row>
    <row r="9">
      <c r="A9" s="34" t="s">
        <v>99</v>
      </c>
      <c r="B9" s="36" t="str">
        <f>VLOOKUP(A9,Guerreros!$A$1:Guerreros!$B58,2,FALSE())</f>
        <v>#N/A</v>
      </c>
      <c r="C9" s="34" t="s">
        <v>99</v>
      </c>
      <c r="D9" s="36" t="str">
        <f>VLOOKUP(C9,Guerreros!$A$1:Guerreros!$B58,2,FALSE())</f>
        <v>#N/A</v>
      </c>
    </row>
    <row r="10">
      <c r="A10" s="34" t="s">
        <v>99</v>
      </c>
      <c r="B10" s="36" t="str">
        <f>VLOOKUP(A10,Guerreros!$A$1:Guerreros!$B59,2,FALSE())</f>
        <v>#N/A</v>
      </c>
      <c r="C10" s="34" t="s">
        <v>99</v>
      </c>
      <c r="D10" s="36" t="str">
        <f>VLOOKUP(C10,Guerreros!$A$1:Guerreros!$B59,2,FALSE())</f>
        <v>#N/A</v>
      </c>
    </row>
    <row r="11">
      <c r="A11" s="34" t="s">
        <v>99</v>
      </c>
      <c r="B11" s="36" t="str">
        <f>VLOOKUP(A11,Guerreros!$A$1:Guerreros!$B60,2,FALSE())</f>
        <v>#N/A</v>
      </c>
      <c r="C11" s="34" t="s">
        <v>99</v>
      </c>
      <c r="D11" s="36" t="str">
        <f>VLOOKUP(C11,Guerreros!$A$1:Guerreros!$B60,2,FALSE())</f>
        <v>#N/A</v>
      </c>
    </row>
    <row r="12">
      <c r="A12" s="34" t="s">
        <v>99</v>
      </c>
      <c r="B12" s="36" t="str">
        <f>VLOOKUP(A12,Guerreros!$A$1:Guerreros!$B61,2,FALSE())</f>
        <v>#N/A</v>
      </c>
      <c r="C12" s="34" t="s">
        <v>99</v>
      </c>
      <c r="D12" s="36" t="str">
        <f>VLOOKUP(C12,Guerreros!$A$1:Guerreros!$B61,2,FALSE())</f>
        <v>#N/A</v>
      </c>
    </row>
    <row r="13">
      <c r="A13" s="34" t="s">
        <v>99</v>
      </c>
      <c r="B13" s="36" t="str">
        <f>VLOOKUP(A13,Guerreros!$A$1:Guerreros!$B62,2,FALSE())</f>
        <v>#N/A</v>
      </c>
      <c r="C13" s="34" t="s">
        <v>99</v>
      </c>
      <c r="D13" s="36" t="str">
        <f>VLOOKUP(C13,Guerreros!$A$1:Guerreros!$B62,2,FALSE())</f>
        <v>#N/A</v>
      </c>
    </row>
    <row r="14">
      <c r="A14" s="34" t="s">
        <v>99</v>
      </c>
      <c r="B14" s="36" t="str">
        <f>VLOOKUP(A14,Guerreros!$A$1:Guerreros!$B63,2,FALSE())</f>
        <v>#N/A</v>
      </c>
      <c r="C14" s="34" t="s">
        <v>99</v>
      </c>
      <c r="D14" s="36" t="str">
        <f>VLOOKUP(C14,Guerreros!$A$1:Guerreros!$B63,2,FALSE())</f>
        <v>#N/A</v>
      </c>
    </row>
    <row r="15">
      <c r="A15" s="34" t="s">
        <v>99</v>
      </c>
      <c r="B15" s="36" t="str">
        <f>VLOOKUP(A15,Guerreros!$A$1:Guerreros!$B64,2,FALSE())</f>
        <v>#N/A</v>
      </c>
      <c r="C15" s="34" t="s">
        <v>99</v>
      </c>
      <c r="D15" s="36" t="str">
        <f>VLOOKUP(C15,Guerreros!$A$1:Guerreros!$B64,2,FALSE())</f>
        <v>#N/A</v>
      </c>
    </row>
    <row r="16">
      <c r="A16" s="34" t="s">
        <v>99</v>
      </c>
      <c r="B16" s="36" t="str">
        <f>VLOOKUP(A16,Guerreros!$A$1:Guerreros!$B65,2,FALSE())</f>
        <v>#N/A</v>
      </c>
      <c r="C16" s="34" t="s">
        <v>99</v>
      </c>
      <c r="D16" s="36" t="str">
        <f>VLOOKUP(C16,Guerreros!$A$1:Guerreros!$B65,2,FALSE())</f>
        <v>#N/A</v>
      </c>
    </row>
    <row r="17">
      <c r="A17" s="34" t="s">
        <v>99</v>
      </c>
      <c r="B17" s="36" t="str">
        <f>VLOOKUP(A17,Guerreros!$A$1:Guerreros!$B66,2,FALSE())</f>
        <v>#N/A</v>
      </c>
      <c r="C17" s="34" t="s">
        <v>99</v>
      </c>
      <c r="D17" s="36" t="str">
        <f>VLOOKUP(C17,Guerreros!$A$1:Guerreros!$B66,2,FALSE())</f>
        <v>#N/A</v>
      </c>
    </row>
    <row r="18">
      <c r="A18" s="34" t="s">
        <v>99</v>
      </c>
      <c r="B18" s="36" t="str">
        <f>VLOOKUP(A18,Guerreros!$A$1:Guerreros!$B67,2,FALSE())</f>
        <v>#N/A</v>
      </c>
      <c r="C18" s="34" t="s">
        <v>99</v>
      </c>
      <c r="D18" s="36" t="str">
        <f>VLOOKUP(C18,Guerreros!$A$1:Guerreros!$B67,2,FALSE())</f>
        <v>#N/A</v>
      </c>
    </row>
    <row r="19">
      <c r="A19" s="34" t="s">
        <v>99</v>
      </c>
      <c r="B19" s="36" t="str">
        <f>VLOOKUP(A19,Guerreros!$A$1:Guerreros!$B68,2,FALSE())</f>
        <v>#N/A</v>
      </c>
      <c r="C19" s="34" t="s">
        <v>99</v>
      </c>
      <c r="D19" s="36" t="str">
        <f>VLOOKUP(C19,Guerreros!$A$1:Guerreros!$B68,2,FALSE())</f>
        <v>#N/A</v>
      </c>
    </row>
    <row r="20">
      <c r="A20" s="34" t="s">
        <v>99</v>
      </c>
      <c r="B20" s="36" t="str">
        <f>VLOOKUP(A20,Guerreros!$A$1:Guerreros!$B69,2,FALSE())</f>
        <v>#N/A</v>
      </c>
      <c r="C20" s="34" t="s">
        <v>99</v>
      </c>
      <c r="D20" s="36" t="str">
        <f>VLOOKUP(C20,Guerreros!$A$1:Guerreros!$B69,2,FALSE())</f>
        <v>#N/A</v>
      </c>
    </row>
    <row r="21">
      <c r="A21" s="34" t="s">
        <v>99</v>
      </c>
      <c r="B21" s="36" t="str">
        <f>VLOOKUP(A21,Guerreros!$A$1:Guerreros!$B70,2,FALSE())</f>
        <v>#N/A</v>
      </c>
      <c r="C21" s="34" t="s">
        <v>99</v>
      </c>
      <c r="D21" s="36" t="str">
        <f>VLOOKUP(C21,Guerreros!$A$1:Guerreros!$B70,2,FALSE())</f>
        <v>#N/A</v>
      </c>
    </row>
    <row r="22">
      <c r="B22" s="36"/>
    </row>
    <row r="23">
      <c r="B23" s="36"/>
    </row>
  </sheetData>
  <mergeCells count="2">
    <mergeCell ref="A3:B3"/>
    <mergeCell ref="C3:D3"/>
  </mergeCells>
  <dataValidations>
    <dataValidation type="list" allowBlank="1" showErrorMessage="1" sqref="A4:A21 C4:C21">
      <formula1>Guerreros!$A$1:$A$51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71"/>
  </cols>
  <sheetData>
    <row r="1">
      <c r="A1" s="40" t="s">
        <v>91</v>
      </c>
      <c r="B1" s="41" t="s">
        <v>100</v>
      </c>
    </row>
    <row r="2">
      <c r="A2" s="40" t="s">
        <v>16</v>
      </c>
      <c r="B2" s="42">
        <v>8.8</v>
      </c>
    </row>
    <row r="3">
      <c r="A3" s="40" t="s">
        <v>35</v>
      </c>
      <c r="B3" s="42">
        <v>8.6</v>
      </c>
    </row>
    <row r="4">
      <c r="A4" s="40" t="s">
        <v>21</v>
      </c>
      <c r="B4" s="42">
        <v>8.3</v>
      </c>
    </row>
    <row r="5">
      <c r="A5" s="40" t="s">
        <v>101</v>
      </c>
      <c r="B5" s="42">
        <v>8.1</v>
      </c>
    </row>
    <row r="6">
      <c r="A6" s="40" t="s">
        <v>102</v>
      </c>
      <c r="B6" s="42">
        <v>8.1</v>
      </c>
      <c r="D6" s="43"/>
    </row>
    <row r="7">
      <c r="A7" s="40" t="s">
        <v>63</v>
      </c>
      <c r="B7" s="42">
        <v>8.0</v>
      </c>
    </row>
    <row r="8">
      <c r="A8" s="40" t="s">
        <v>29</v>
      </c>
      <c r="B8" s="42">
        <v>8.0</v>
      </c>
    </row>
    <row r="9">
      <c r="A9" s="40" t="s">
        <v>72</v>
      </c>
      <c r="B9" s="42">
        <v>7.7</v>
      </c>
    </row>
    <row r="10">
      <c r="A10" s="40" t="s">
        <v>38</v>
      </c>
      <c r="B10" s="42">
        <v>7.5</v>
      </c>
    </row>
    <row r="11">
      <c r="A11" s="40" t="s">
        <v>103</v>
      </c>
      <c r="B11" s="42">
        <v>7.5</v>
      </c>
    </row>
    <row r="12">
      <c r="A12" s="40" t="s">
        <v>79</v>
      </c>
      <c r="B12" s="42">
        <v>7.4</v>
      </c>
    </row>
    <row r="13">
      <c r="A13" s="40" t="s">
        <v>20</v>
      </c>
      <c r="B13" s="42">
        <v>7.2</v>
      </c>
    </row>
    <row r="14">
      <c r="A14" s="40" t="s">
        <v>85</v>
      </c>
      <c r="B14" s="42">
        <v>7.0</v>
      </c>
    </row>
    <row r="15">
      <c r="A15" s="40" t="s">
        <v>104</v>
      </c>
      <c r="B15" s="42">
        <v>6.9</v>
      </c>
    </row>
    <row r="16">
      <c r="A16" s="40" t="s">
        <v>23</v>
      </c>
      <c r="B16" s="42">
        <v>6.8</v>
      </c>
    </row>
    <row r="17">
      <c r="A17" s="40" t="s">
        <v>105</v>
      </c>
      <c r="B17" s="42">
        <v>6.8</v>
      </c>
    </row>
    <row r="18">
      <c r="A18" s="40" t="s">
        <v>106</v>
      </c>
      <c r="B18" s="42">
        <v>6.7</v>
      </c>
    </row>
    <row r="19">
      <c r="A19" s="40" t="s">
        <v>17</v>
      </c>
      <c r="B19" s="42">
        <v>6.5</v>
      </c>
    </row>
    <row r="20">
      <c r="A20" s="40" t="s">
        <v>107</v>
      </c>
      <c r="B20" s="42">
        <v>6.4</v>
      </c>
    </row>
    <row r="21">
      <c r="A21" s="40" t="s">
        <v>71</v>
      </c>
      <c r="B21" s="42">
        <v>6.4</v>
      </c>
    </row>
    <row r="22">
      <c r="A22" s="40" t="s">
        <v>43</v>
      </c>
      <c r="B22" s="42">
        <v>6.3</v>
      </c>
    </row>
    <row r="23">
      <c r="A23" s="40" t="s">
        <v>22</v>
      </c>
      <c r="B23" s="42">
        <v>6.2</v>
      </c>
    </row>
    <row r="24">
      <c r="A24" s="40" t="s">
        <v>25</v>
      </c>
      <c r="B24" s="42">
        <v>6.0</v>
      </c>
    </row>
    <row r="25">
      <c r="A25" s="40" t="s">
        <v>108</v>
      </c>
      <c r="B25" s="42">
        <v>5.89</v>
      </c>
    </row>
    <row r="26">
      <c r="A26" s="40" t="s">
        <v>109</v>
      </c>
      <c r="B26" s="42">
        <v>5.7</v>
      </c>
    </row>
    <row r="27">
      <c r="A27" s="40" t="s">
        <v>55</v>
      </c>
      <c r="B27" s="42">
        <v>5.6</v>
      </c>
    </row>
    <row r="28">
      <c r="A28" s="40" t="s">
        <v>110</v>
      </c>
      <c r="B28" s="42">
        <v>5.6</v>
      </c>
    </row>
    <row r="29">
      <c r="A29" s="40" t="s">
        <v>83</v>
      </c>
      <c r="B29" s="42">
        <v>5.5</v>
      </c>
    </row>
    <row r="30">
      <c r="A30" s="40" t="s">
        <v>111</v>
      </c>
      <c r="B30" s="42">
        <v>5.5</v>
      </c>
    </row>
    <row r="31">
      <c r="A31" s="40" t="s">
        <v>112</v>
      </c>
      <c r="B31" s="42">
        <v>5.5</v>
      </c>
    </row>
    <row r="32">
      <c r="A32" s="40" t="s">
        <v>60</v>
      </c>
      <c r="B32" s="42">
        <v>5.4</v>
      </c>
    </row>
    <row r="33">
      <c r="A33" s="40" t="s">
        <v>18</v>
      </c>
      <c r="B33" s="42">
        <v>5.3</v>
      </c>
    </row>
    <row r="34">
      <c r="A34" s="40" t="s">
        <v>73</v>
      </c>
      <c r="B34" s="42">
        <v>5.2</v>
      </c>
    </row>
    <row r="35">
      <c r="A35" s="40" t="s">
        <v>52</v>
      </c>
      <c r="B35" s="42">
        <v>5.2</v>
      </c>
    </row>
    <row r="36">
      <c r="A36" s="40" t="s">
        <v>30</v>
      </c>
      <c r="B36" s="42">
        <v>5.1</v>
      </c>
    </row>
    <row r="37">
      <c r="A37" s="40" t="s">
        <v>113</v>
      </c>
      <c r="B37" s="42">
        <v>5.0</v>
      </c>
    </row>
    <row r="38">
      <c r="A38" s="40" t="s">
        <v>36</v>
      </c>
      <c r="B38" s="42">
        <v>4.3</v>
      </c>
    </row>
    <row r="39">
      <c r="A39" s="40" t="s">
        <v>74</v>
      </c>
      <c r="B39" s="42">
        <v>4.2</v>
      </c>
    </row>
    <row r="40">
      <c r="A40" s="40" t="s">
        <v>114</v>
      </c>
      <c r="B40" s="42">
        <v>4.2</v>
      </c>
    </row>
    <row r="41">
      <c r="A41" s="40" t="s">
        <v>28</v>
      </c>
      <c r="B41" s="42">
        <v>4.2</v>
      </c>
    </row>
    <row r="42">
      <c r="A42" s="40" t="s">
        <v>115</v>
      </c>
      <c r="B42" s="42">
        <v>4.1</v>
      </c>
    </row>
    <row r="43">
      <c r="A43" s="40" t="s">
        <v>24</v>
      </c>
      <c r="B43" s="42">
        <v>3.8</v>
      </c>
    </row>
    <row r="44">
      <c r="A44" s="40" t="s">
        <v>59</v>
      </c>
      <c r="B44" s="42">
        <v>3.8</v>
      </c>
    </row>
    <row r="45">
      <c r="A45" s="40" t="s">
        <v>116</v>
      </c>
      <c r="B45" s="42">
        <v>3.8</v>
      </c>
    </row>
    <row r="46">
      <c r="A46" s="40" t="s">
        <v>56</v>
      </c>
      <c r="B46" s="42">
        <v>2.6</v>
      </c>
    </row>
    <row r="47">
      <c r="A47" s="40" t="s">
        <v>117</v>
      </c>
      <c r="B47" s="44">
        <v>2.2</v>
      </c>
    </row>
    <row r="48">
      <c r="A48" s="40"/>
      <c r="B48" s="45"/>
    </row>
    <row r="49">
      <c r="A49" s="40"/>
      <c r="B49" s="45"/>
    </row>
    <row r="50">
      <c r="A50" s="40"/>
      <c r="B50" s="45"/>
    </row>
    <row r="51">
      <c r="A51" s="40"/>
      <c r="B51" s="45"/>
    </row>
    <row r="52">
      <c r="A52" s="40"/>
      <c r="B52" s="46"/>
    </row>
    <row r="53">
      <c r="A53" s="40"/>
      <c r="B53" s="46"/>
    </row>
    <row r="54">
      <c r="A54" s="40"/>
      <c r="B54" s="46"/>
    </row>
    <row r="55">
      <c r="A55" s="40"/>
      <c r="B55" s="46"/>
    </row>
    <row r="56">
      <c r="A56" s="40"/>
      <c r="B56" s="46"/>
    </row>
    <row r="57">
      <c r="B57" s="47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  <row r="1001">
      <c r="B1001" s="48"/>
    </row>
    <row r="1002">
      <c r="B1002" s="48"/>
    </row>
    <row r="1003">
      <c r="B1003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14"/>
    <col customWidth="1" min="2" max="2" width="12.14"/>
    <col customWidth="1" min="3" max="3" width="22.86"/>
    <col customWidth="1" min="4" max="4" width="10.0"/>
    <col customWidth="1" min="5" max="5" width="8.86"/>
    <col customWidth="1" min="6" max="6" width="13.57"/>
    <col customWidth="1" min="7" max="7" width="12.71"/>
    <col customWidth="1" min="8" max="8" width="8.86"/>
    <col customWidth="1" min="9" max="9" width="15.29"/>
    <col customWidth="1" min="10" max="10" width="20.0"/>
    <col customWidth="1" min="11" max="26" width="8.86"/>
  </cols>
  <sheetData>
    <row r="1" ht="14.25" customHeight="1">
      <c r="A1" s="49" t="s">
        <v>118</v>
      </c>
      <c r="B1" s="49" t="s">
        <v>119</v>
      </c>
      <c r="C1" s="49" t="s">
        <v>1</v>
      </c>
      <c r="D1" s="49" t="s">
        <v>120</v>
      </c>
      <c r="E1" s="49" t="s">
        <v>3</v>
      </c>
      <c r="F1" s="49" t="s">
        <v>5</v>
      </c>
      <c r="G1" s="49" t="s">
        <v>121</v>
      </c>
      <c r="H1" s="49" t="s">
        <v>122</v>
      </c>
      <c r="I1" s="18" t="s">
        <v>123</v>
      </c>
      <c r="J1" s="18" t="s">
        <v>124</v>
      </c>
    </row>
    <row r="2" ht="14.25" customHeight="1">
      <c r="A2" s="50">
        <v>46024.0</v>
      </c>
      <c r="B2" s="51">
        <v>1.0</v>
      </c>
      <c r="C2" s="52" t="s">
        <v>41</v>
      </c>
      <c r="D2" s="53" t="s">
        <v>125</v>
      </c>
      <c r="E2" s="51">
        <v>0.0</v>
      </c>
      <c r="F2" s="51">
        <v>0.0</v>
      </c>
      <c r="G2" s="53" t="s">
        <v>126</v>
      </c>
      <c r="H2" s="54"/>
      <c r="I2" s="55">
        <v>4.0</v>
      </c>
    </row>
    <row r="3" ht="14.25" customHeight="1">
      <c r="A3" s="56">
        <v>46024.0</v>
      </c>
      <c r="B3" s="51">
        <v>1.0</v>
      </c>
      <c r="C3" s="57" t="s">
        <v>127</v>
      </c>
      <c r="D3" s="53" t="s">
        <v>125</v>
      </c>
      <c r="E3" s="51">
        <v>0.0</v>
      </c>
      <c r="F3" s="51">
        <v>0.0</v>
      </c>
      <c r="G3" s="53" t="s">
        <v>126</v>
      </c>
      <c r="H3" s="58"/>
    </row>
    <row r="4" ht="14.25" customHeight="1">
      <c r="A4" s="56">
        <v>46024.0</v>
      </c>
      <c r="B4" s="51">
        <v>1.0</v>
      </c>
      <c r="C4" s="57" t="s">
        <v>27</v>
      </c>
      <c r="D4" s="53" t="s">
        <v>125</v>
      </c>
      <c r="E4" s="51">
        <v>0.0</v>
      </c>
      <c r="F4" s="51">
        <v>0.0</v>
      </c>
      <c r="G4" s="53" t="s">
        <v>126</v>
      </c>
      <c r="H4" s="58"/>
    </row>
    <row r="5" ht="14.25" customHeight="1">
      <c r="A5" s="56">
        <v>46024.0</v>
      </c>
      <c r="B5" s="51">
        <v>1.0</v>
      </c>
      <c r="C5" s="57" t="s">
        <v>37</v>
      </c>
      <c r="D5" s="53" t="s">
        <v>125</v>
      </c>
      <c r="E5" s="51">
        <v>0.0</v>
      </c>
      <c r="F5" s="51">
        <v>0.0</v>
      </c>
      <c r="G5" s="53" t="s">
        <v>126</v>
      </c>
      <c r="H5" s="58"/>
    </row>
    <row r="6" ht="14.25" customHeight="1">
      <c r="A6" s="56">
        <v>46024.0</v>
      </c>
      <c r="B6" s="51">
        <v>1.0</v>
      </c>
      <c r="C6" s="57" t="s">
        <v>17</v>
      </c>
      <c r="D6" s="53" t="s">
        <v>125</v>
      </c>
      <c r="E6" s="51">
        <v>2.0</v>
      </c>
      <c r="F6" s="51">
        <v>1.0</v>
      </c>
      <c r="G6" s="53" t="s">
        <v>126</v>
      </c>
      <c r="H6" s="53" t="s">
        <v>128</v>
      </c>
    </row>
    <row r="7" ht="14.25" customHeight="1">
      <c r="A7" s="56">
        <v>46024.0</v>
      </c>
      <c r="B7" s="51">
        <v>1.0</v>
      </c>
      <c r="C7" s="57" t="s">
        <v>31</v>
      </c>
      <c r="D7" s="53" t="s">
        <v>125</v>
      </c>
      <c r="E7" s="51">
        <v>0.0</v>
      </c>
      <c r="F7" s="51">
        <v>1.0</v>
      </c>
      <c r="G7" s="53" t="s">
        <v>126</v>
      </c>
      <c r="H7" s="58"/>
    </row>
    <row r="8" ht="14.25" customHeight="1">
      <c r="A8" s="56">
        <v>46024.0</v>
      </c>
      <c r="B8" s="51">
        <v>1.0</v>
      </c>
      <c r="C8" s="57" t="s">
        <v>22</v>
      </c>
      <c r="D8" s="53" t="s">
        <v>125</v>
      </c>
      <c r="E8" s="51">
        <v>1.0</v>
      </c>
      <c r="F8" s="51">
        <v>0.0</v>
      </c>
      <c r="G8" s="53" t="s">
        <v>126</v>
      </c>
      <c r="H8" s="58"/>
    </row>
    <row r="9" ht="14.25" customHeight="1">
      <c r="A9" s="56">
        <v>46024.0</v>
      </c>
      <c r="B9" s="51">
        <v>1.0</v>
      </c>
      <c r="C9" s="57" t="s">
        <v>40</v>
      </c>
      <c r="D9" s="53" t="s">
        <v>129</v>
      </c>
      <c r="E9" s="51">
        <v>1.0</v>
      </c>
      <c r="F9" s="51">
        <v>0.0</v>
      </c>
      <c r="G9" s="53" t="s">
        <v>126</v>
      </c>
      <c r="H9" s="58"/>
    </row>
    <row r="10" ht="14.25" customHeight="1">
      <c r="A10" s="56">
        <v>46024.0</v>
      </c>
      <c r="B10" s="51">
        <v>1.0</v>
      </c>
      <c r="C10" s="57" t="s">
        <v>20</v>
      </c>
      <c r="D10" s="53" t="s">
        <v>125</v>
      </c>
      <c r="E10" s="51">
        <v>0.0</v>
      </c>
      <c r="F10" s="51">
        <v>1.0</v>
      </c>
      <c r="G10" s="53" t="s">
        <v>126</v>
      </c>
      <c r="H10" s="58"/>
    </row>
    <row r="11" ht="14.25" customHeight="1">
      <c r="A11" s="56">
        <v>46024.0</v>
      </c>
      <c r="B11" s="51">
        <v>1.0</v>
      </c>
      <c r="C11" s="57" t="s">
        <v>24</v>
      </c>
      <c r="D11" s="53" t="s">
        <v>125</v>
      </c>
      <c r="E11" s="51">
        <v>1.0</v>
      </c>
      <c r="F11" s="51">
        <v>0.0</v>
      </c>
      <c r="G11" s="53" t="s">
        <v>126</v>
      </c>
      <c r="H11" s="58"/>
    </row>
    <row r="12" ht="14.25" customHeight="1">
      <c r="A12" s="56">
        <v>46024.0</v>
      </c>
      <c r="B12" s="51">
        <v>1.0</v>
      </c>
      <c r="C12" s="59" t="s">
        <v>46</v>
      </c>
      <c r="D12" s="53" t="s">
        <v>130</v>
      </c>
      <c r="E12" s="51">
        <v>0.0</v>
      </c>
      <c r="F12" s="51">
        <v>0.0</v>
      </c>
      <c r="G12" s="53" t="s">
        <v>131</v>
      </c>
      <c r="H12" s="58"/>
      <c r="I12" s="55">
        <v>5.0</v>
      </c>
    </row>
    <row r="13" ht="14.25" customHeight="1">
      <c r="A13" s="56">
        <v>46024.0</v>
      </c>
      <c r="B13" s="51">
        <v>1.0</v>
      </c>
      <c r="C13" s="57" t="s">
        <v>49</v>
      </c>
      <c r="D13" s="53" t="s">
        <v>130</v>
      </c>
      <c r="E13" s="51">
        <v>0.0</v>
      </c>
      <c r="F13" s="51">
        <v>0.0</v>
      </c>
      <c r="G13" s="53" t="s">
        <v>131</v>
      </c>
      <c r="H13" s="58"/>
    </row>
    <row r="14" ht="14.25" customHeight="1">
      <c r="A14" s="56">
        <v>46024.0</v>
      </c>
      <c r="B14" s="51">
        <v>1.0</v>
      </c>
      <c r="C14" s="57" t="s">
        <v>26</v>
      </c>
      <c r="D14" s="53" t="s">
        <v>130</v>
      </c>
      <c r="E14" s="51">
        <v>1.0</v>
      </c>
      <c r="F14" s="51">
        <v>0.0</v>
      </c>
      <c r="G14" s="53" t="s">
        <v>131</v>
      </c>
      <c r="H14" s="58"/>
    </row>
    <row r="15" ht="14.25" customHeight="1">
      <c r="A15" s="56">
        <v>46024.0</v>
      </c>
      <c r="B15" s="51">
        <v>1.0</v>
      </c>
      <c r="C15" s="57" t="s">
        <v>50</v>
      </c>
      <c r="D15" s="53" t="s">
        <v>130</v>
      </c>
      <c r="E15" s="51">
        <v>0.0</v>
      </c>
      <c r="F15" s="51">
        <v>0.0</v>
      </c>
      <c r="G15" s="53" t="s">
        <v>131</v>
      </c>
      <c r="H15" s="58"/>
    </row>
    <row r="16" ht="14.25" customHeight="1">
      <c r="A16" s="56">
        <v>46024.0</v>
      </c>
      <c r="B16" s="51">
        <v>1.0</v>
      </c>
      <c r="C16" s="57" t="s">
        <v>25</v>
      </c>
      <c r="D16" s="53" t="s">
        <v>130</v>
      </c>
      <c r="E16" s="51">
        <v>1.0</v>
      </c>
      <c r="F16" s="51">
        <v>0.0</v>
      </c>
      <c r="G16" s="53" t="s">
        <v>131</v>
      </c>
      <c r="H16" s="53" t="s">
        <v>128</v>
      </c>
    </row>
    <row r="17" ht="14.25" customHeight="1">
      <c r="A17" s="56">
        <v>46024.0</v>
      </c>
      <c r="B17" s="51">
        <v>1.0</v>
      </c>
      <c r="C17" s="57" t="s">
        <v>32</v>
      </c>
      <c r="D17" s="53" t="s">
        <v>130</v>
      </c>
      <c r="E17" s="51">
        <v>0.0</v>
      </c>
      <c r="F17" s="51">
        <v>0.0</v>
      </c>
      <c r="G17" s="53" t="s">
        <v>131</v>
      </c>
      <c r="H17" s="58"/>
    </row>
    <row r="18" ht="14.25" customHeight="1">
      <c r="A18" s="56">
        <v>46024.0</v>
      </c>
      <c r="B18" s="51">
        <v>1.0</v>
      </c>
      <c r="C18" s="57" t="s">
        <v>19</v>
      </c>
      <c r="D18" s="53" t="s">
        <v>130</v>
      </c>
      <c r="E18" s="51">
        <v>1.0</v>
      </c>
      <c r="F18" s="51">
        <v>0.0</v>
      </c>
      <c r="G18" s="53" t="s">
        <v>131</v>
      </c>
      <c r="H18" s="58"/>
    </row>
    <row r="19" ht="14.25" customHeight="1">
      <c r="A19" s="56">
        <v>46024.0</v>
      </c>
      <c r="B19" s="51">
        <v>1.0</v>
      </c>
      <c r="C19" s="57" t="s">
        <v>44</v>
      </c>
      <c r="D19" s="53" t="s">
        <v>130</v>
      </c>
      <c r="E19" s="51">
        <v>1.0</v>
      </c>
      <c r="F19" s="51">
        <v>0.0</v>
      </c>
      <c r="G19" s="53" t="s">
        <v>131</v>
      </c>
      <c r="H19" s="58"/>
    </row>
    <row r="20" ht="14.25" customHeight="1">
      <c r="A20" s="56">
        <v>46024.0</v>
      </c>
      <c r="B20" s="51">
        <v>1.0</v>
      </c>
      <c r="C20" s="57" t="s">
        <v>40</v>
      </c>
      <c r="D20" s="53" t="s">
        <v>130</v>
      </c>
      <c r="E20" s="51">
        <v>0.0</v>
      </c>
      <c r="F20" s="51">
        <v>0.0</v>
      </c>
      <c r="G20" s="53" t="s">
        <v>131</v>
      </c>
      <c r="H20" s="58"/>
    </row>
    <row r="21" ht="14.25" customHeight="1">
      <c r="A21" s="56">
        <v>46024.0</v>
      </c>
      <c r="B21" s="51">
        <v>1.0</v>
      </c>
      <c r="C21" s="53" t="s">
        <v>59</v>
      </c>
      <c r="D21" s="53" t="s">
        <v>130</v>
      </c>
      <c r="E21" s="51">
        <v>0.0</v>
      </c>
      <c r="F21" s="51">
        <v>0.0</v>
      </c>
      <c r="G21" s="53" t="s">
        <v>131</v>
      </c>
      <c r="H21" s="58"/>
    </row>
    <row r="22" ht="14.25" customHeight="1">
      <c r="A22" s="60">
        <v>46028.0</v>
      </c>
      <c r="B22" s="51">
        <v>2.0</v>
      </c>
      <c r="C22" s="61" t="s">
        <v>46</v>
      </c>
      <c r="D22" s="53" t="s">
        <v>130</v>
      </c>
      <c r="E22" s="51">
        <v>0.0</v>
      </c>
      <c r="F22" s="51">
        <v>0.0</v>
      </c>
      <c r="G22" s="53" t="s">
        <v>126</v>
      </c>
      <c r="H22" s="58"/>
      <c r="I22" s="55">
        <v>1.0</v>
      </c>
    </row>
    <row r="23" ht="14.25" customHeight="1">
      <c r="A23" s="60">
        <v>46028.0</v>
      </c>
      <c r="B23" s="51">
        <v>2.0</v>
      </c>
      <c r="C23" s="61" t="s">
        <v>50</v>
      </c>
      <c r="D23" s="53" t="s">
        <v>130</v>
      </c>
      <c r="E23" s="51">
        <v>0.0</v>
      </c>
      <c r="F23" s="51">
        <v>0.0</v>
      </c>
      <c r="G23" s="53" t="s">
        <v>126</v>
      </c>
      <c r="H23" s="58"/>
    </row>
    <row r="24" ht="14.25" customHeight="1">
      <c r="A24" s="60">
        <v>46028.0</v>
      </c>
      <c r="B24" s="51">
        <v>2.0</v>
      </c>
      <c r="C24" s="61" t="s">
        <v>23</v>
      </c>
      <c r="D24" s="53" t="s">
        <v>130</v>
      </c>
      <c r="E24" s="51">
        <v>0.0</v>
      </c>
      <c r="F24" s="51">
        <v>0.0</v>
      </c>
      <c r="G24" s="53" t="s">
        <v>126</v>
      </c>
      <c r="H24" s="58"/>
    </row>
    <row r="25" ht="14.25" customHeight="1">
      <c r="A25" s="60">
        <v>46028.0</v>
      </c>
      <c r="B25" s="51">
        <v>2.0</v>
      </c>
      <c r="C25" s="61" t="s">
        <v>52</v>
      </c>
      <c r="D25" s="53" t="s">
        <v>130</v>
      </c>
      <c r="E25" s="51">
        <v>0.0</v>
      </c>
      <c r="F25" s="51">
        <v>0.0</v>
      </c>
      <c r="G25" s="53" t="s">
        <v>126</v>
      </c>
      <c r="H25" s="53" t="s">
        <v>128</v>
      </c>
    </row>
    <row r="26" ht="14.25" customHeight="1">
      <c r="A26" s="60">
        <v>46028.0</v>
      </c>
      <c r="B26" s="51">
        <v>2.0</v>
      </c>
      <c r="C26" s="61" t="s">
        <v>37</v>
      </c>
      <c r="D26" s="53" t="s">
        <v>130</v>
      </c>
      <c r="E26" s="51">
        <v>1.0</v>
      </c>
      <c r="F26" s="51">
        <v>0.0</v>
      </c>
      <c r="G26" s="53" t="s">
        <v>126</v>
      </c>
      <c r="H26" s="58"/>
    </row>
    <row r="27" ht="14.25" customHeight="1">
      <c r="A27" s="60">
        <v>46028.0</v>
      </c>
      <c r="B27" s="51">
        <v>2.0</v>
      </c>
      <c r="C27" s="61" t="s">
        <v>21</v>
      </c>
      <c r="D27" s="53" t="s">
        <v>130</v>
      </c>
      <c r="E27" s="51">
        <v>1.0</v>
      </c>
      <c r="F27" s="51">
        <v>0.0</v>
      </c>
      <c r="G27" s="53" t="s">
        <v>126</v>
      </c>
      <c r="H27" s="58"/>
    </row>
    <row r="28" ht="14.25" customHeight="1">
      <c r="A28" s="60">
        <v>46028.0</v>
      </c>
      <c r="B28" s="51">
        <v>2.0</v>
      </c>
      <c r="C28" s="61" t="s">
        <v>22</v>
      </c>
      <c r="D28" s="53" t="s">
        <v>130</v>
      </c>
      <c r="E28" s="51">
        <v>0.0</v>
      </c>
      <c r="F28" s="51">
        <v>0.0</v>
      </c>
      <c r="G28" s="53" t="s">
        <v>126</v>
      </c>
      <c r="H28" s="58"/>
    </row>
    <row r="29" ht="14.25" customHeight="1">
      <c r="A29" s="60">
        <v>46028.0</v>
      </c>
      <c r="B29" s="51">
        <v>2.0</v>
      </c>
      <c r="C29" s="61" t="s">
        <v>17</v>
      </c>
      <c r="D29" s="53" t="s">
        <v>130</v>
      </c>
      <c r="E29" s="51">
        <v>0.0</v>
      </c>
      <c r="F29" s="51">
        <v>0.0</v>
      </c>
      <c r="G29" s="53" t="s">
        <v>126</v>
      </c>
      <c r="H29" s="58"/>
    </row>
    <row r="30" ht="14.25" customHeight="1">
      <c r="A30" s="60">
        <v>46028.0</v>
      </c>
      <c r="B30" s="51">
        <v>2.0</v>
      </c>
      <c r="C30" s="61" t="s">
        <v>24</v>
      </c>
      <c r="D30" s="53" t="s">
        <v>130</v>
      </c>
      <c r="E30" s="51">
        <v>0.0</v>
      </c>
      <c r="F30" s="51">
        <v>0.0</v>
      </c>
      <c r="G30" s="53" t="s">
        <v>126</v>
      </c>
      <c r="H30" s="58"/>
    </row>
    <row r="31" ht="14.25" customHeight="1">
      <c r="A31" s="60">
        <v>46028.0</v>
      </c>
      <c r="B31" s="51">
        <v>2.0</v>
      </c>
      <c r="C31" s="61" t="s">
        <v>18</v>
      </c>
      <c r="D31" s="53" t="s">
        <v>130</v>
      </c>
      <c r="E31" s="51">
        <v>0.0</v>
      </c>
      <c r="F31" s="51">
        <v>2.0</v>
      </c>
      <c r="G31" s="53" t="s">
        <v>126</v>
      </c>
      <c r="H31" s="58"/>
    </row>
    <row r="32" ht="14.25" customHeight="1">
      <c r="A32" s="60">
        <v>46028.0</v>
      </c>
      <c r="B32" s="51">
        <v>2.0</v>
      </c>
      <c r="C32" s="61" t="s">
        <v>53</v>
      </c>
      <c r="D32" s="53" t="s">
        <v>125</v>
      </c>
      <c r="E32" s="51">
        <v>0.0</v>
      </c>
      <c r="F32" s="51">
        <v>0.0</v>
      </c>
      <c r="G32" s="53" t="s">
        <v>131</v>
      </c>
      <c r="H32" s="58"/>
    </row>
    <row r="33" ht="14.25" customHeight="1">
      <c r="A33" s="60">
        <v>46028.0</v>
      </c>
      <c r="B33" s="51">
        <v>2.0</v>
      </c>
      <c r="C33" s="61" t="s">
        <v>49</v>
      </c>
      <c r="D33" s="53" t="s">
        <v>125</v>
      </c>
      <c r="E33" s="51">
        <v>0.0</v>
      </c>
      <c r="F33" s="51">
        <v>0.0</v>
      </c>
      <c r="G33" s="53" t="s">
        <v>131</v>
      </c>
      <c r="H33" s="58"/>
    </row>
    <row r="34" ht="14.25" customHeight="1">
      <c r="A34" s="60">
        <v>46028.0</v>
      </c>
      <c r="B34" s="51">
        <v>2.0</v>
      </c>
      <c r="C34" s="61" t="s">
        <v>26</v>
      </c>
      <c r="D34" s="53" t="s">
        <v>125</v>
      </c>
      <c r="E34" s="51">
        <v>0.0</v>
      </c>
      <c r="F34" s="51">
        <v>0.0</v>
      </c>
      <c r="G34" s="53" t="s">
        <v>131</v>
      </c>
      <c r="H34" s="58"/>
    </row>
    <row r="35" ht="14.25" customHeight="1">
      <c r="A35" s="60">
        <v>46028.0</v>
      </c>
      <c r="B35" s="51">
        <v>2.0</v>
      </c>
      <c r="C35" s="61" t="s">
        <v>27</v>
      </c>
      <c r="D35" s="53" t="s">
        <v>125</v>
      </c>
      <c r="E35" s="51">
        <v>0.0</v>
      </c>
      <c r="F35" s="51">
        <v>0.0</v>
      </c>
      <c r="G35" s="53" t="s">
        <v>131</v>
      </c>
      <c r="H35" s="58"/>
    </row>
    <row r="36" ht="14.25" customHeight="1">
      <c r="A36" s="60">
        <v>46028.0</v>
      </c>
      <c r="B36" s="51">
        <v>2.0</v>
      </c>
      <c r="C36" s="61" t="s">
        <v>48</v>
      </c>
      <c r="D36" s="53" t="s">
        <v>125</v>
      </c>
      <c r="E36" s="51">
        <v>0.0</v>
      </c>
      <c r="F36" s="51">
        <v>0.0</v>
      </c>
      <c r="G36" s="53" t="s">
        <v>131</v>
      </c>
      <c r="H36" s="58"/>
    </row>
    <row r="37" ht="14.25" customHeight="1">
      <c r="A37" s="60">
        <v>46028.0</v>
      </c>
      <c r="B37" s="51">
        <v>2.0</v>
      </c>
      <c r="C37" s="61" t="s">
        <v>25</v>
      </c>
      <c r="D37" s="53" t="s">
        <v>125</v>
      </c>
      <c r="E37" s="51">
        <v>0.0</v>
      </c>
      <c r="F37" s="51">
        <v>1.0</v>
      </c>
      <c r="G37" s="53" t="s">
        <v>131</v>
      </c>
      <c r="H37" s="58"/>
    </row>
    <row r="38" ht="14.25" customHeight="1">
      <c r="A38" s="60">
        <v>46028.0</v>
      </c>
      <c r="B38" s="51">
        <v>2.0</v>
      </c>
      <c r="C38" s="61" t="s">
        <v>35</v>
      </c>
      <c r="D38" s="53" t="s">
        <v>125</v>
      </c>
      <c r="E38" s="51">
        <v>0.0</v>
      </c>
      <c r="F38" s="51">
        <v>0.0</v>
      </c>
      <c r="G38" s="53" t="s">
        <v>131</v>
      </c>
      <c r="H38" s="58"/>
    </row>
    <row r="39" ht="14.25" customHeight="1">
      <c r="A39" s="60">
        <v>46028.0</v>
      </c>
      <c r="B39" s="51">
        <v>2.0</v>
      </c>
      <c r="C39" s="61" t="s">
        <v>41</v>
      </c>
      <c r="D39" s="53" t="s">
        <v>125</v>
      </c>
      <c r="E39" s="51">
        <v>0.0</v>
      </c>
      <c r="F39" s="51">
        <v>0.0</v>
      </c>
      <c r="G39" s="53" t="s">
        <v>131</v>
      </c>
      <c r="H39" s="58"/>
      <c r="I39" s="55">
        <v>2.0</v>
      </c>
    </row>
    <row r="40" ht="14.25" customHeight="1">
      <c r="A40" s="60">
        <v>46028.0</v>
      </c>
      <c r="B40" s="51">
        <v>2.0</v>
      </c>
      <c r="C40" s="61" t="s">
        <v>40</v>
      </c>
      <c r="D40" s="53" t="s">
        <v>125</v>
      </c>
      <c r="E40" s="51">
        <v>0.0</v>
      </c>
      <c r="F40" s="51">
        <v>0.0</v>
      </c>
      <c r="G40" s="53" t="s">
        <v>131</v>
      </c>
      <c r="H40" s="58"/>
    </row>
    <row r="41" ht="14.25" customHeight="1">
      <c r="A41" s="60">
        <v>46028.0</v>
      </c>
      <c r="B41" s="51">
        <v>2.0</v>
      </c>
      <c r="C41" s="61" t="s">
        <v>31</v>
      </c>
      <c r="D41" s="53" t="s">
        <v>125</v>
      </c>
      <c r="E41" s="51">
        <v>0.0</v>
      </c>
      <c r="F41" s="51">
        <v>0.0</v>
      </c>
      <c r="G41" s="53" t="s">
        <v>131</v>
      </c>
      <c r="H41" s="58"/>
    </row>
    <row r="42" ht="14.25" customHeight="1">
      <c r="A42" s="60">
        <v>46028.0</v>
      </c>
      <c r="B42" s="51">
        <v>2.0</v>
      </c>
      <c r="C42" s="61" t="s">
        <v>42</v>
      </c>
      <c r="D42" s="53" t="s">
        <v>125</v>
      </c>
      <c r="E42" s="51">
        <v>1.0</v>
      </c>
      <c r="F42" s="51">
        <v>0.0</v>
      </c>
      <c r="G42" s="53" t="s">
        <v>131</v>
      </c>
      <c r="H42" s="53" t="s">
        <v>128</v>
      </c>
    </row>
    <row r="43" ht="14.25" customHeight="1">
      <c r="A43" s="56">
        <v>45666.0</v>
      </c>
      <c r="B43" s="51">
        <v>3.0</v>
      </c>
      <c r="C43" s="53" t="s">
        <v>23</v>
      </c>
      <c r="D43" s="53" t="s">
        <v>125</v>
      </c>
      <c r="E43" s="51">
        <v>1.0</v>
      </c>
      <c r="F43" s="51">
        <v>0.0</v>
      </c>
      <c r="G43" s="53" t="s">
        <v>132</v>
      </c>
      <c r="H43" s="58"/>
    </row>
    <row r="44" ht="14.25" customHeight="1">
      <c r="A44" s="56">
        <v>45666.0</v>
      </c>
      <c r="B44" s="51">
        <v>3.0</v>
      </c>
      <c r="C44" s="53" t="s">
        <v>18</v>
      </c>
      <c r="D44" s="53" t="s">
        <v>125</v>
      </c>
      <c r="E44" s="51">
        <v>2.0</v>
      </c>
      <c r="F44" s="51">
        <v>1.0</v>
      </c>
      <c r="G44" s="53" t="s">
        <v>132</v>
      </c>
      <c r="H44" s="58"/>
    </row>
    <row r="45" ht="14.25" customHeight="1">
      <c r="A45" s="56">
        <v>45666.0</v>
      </c>
      <c r="B45" s="51">
        <v>3.0</v>
      </c>
      <c r="C45" s="53" t="s">
        <v>35</v>
      </c>
      <c r="D45" s="53" t="s">
        <v>125</v>
      </c>
      <c r="E45" s="51">
        <v>0.0</v>
      </c>
      <c r="F45" s="51">
        <v>0.0</v>
      </c>
      <c r="G45" s="53" t="s">
        <v>132</v>
      </c>
      <c r="H45" s="53" t="s">
        <v>128</v>
      </c>
    </row>
    <row r="46" ht="14.25" customHeight="1">
      <c r="A46" s="62">
        <v>45666.0</v>
      </c>
      <c r="B46" s="51">
        <v>3.0</v>
      </c>
      <c r="C46" s="53" t="s">
        <v>46</v>
      </c>
      <c r="D46" s="53" t="s">
        <v>125</v>
      </c>
      <c r="E46" s="51">
        <v>0.0</v>
      </c>
      <c r="F46" s="51">
        <v>0.0</v>
      </c>
      <c r="G46" s="53" t="s">
        <v>132</v>
      </c>
      <c r="H46" s="58"/>
      <c r="I46" s="55">
        <v>3.0</v>
      </c>
    </row>
    <row r="47" ht="14.25" customHeight="1">
      <c r="A47" s="62">
        <v>45666.0</v>
      </c>
      <c r="B47" s="51">
        <v>3.0</v>
      </c>
      <c r="C47" s="53" t="s">
        <v>62</v>
      </c>
      <c r="D47" s="53" t="s">
        <v>125</v>
      </c>
      <c r="E47" s="51">
        <v>0.0</v>
      </c>
      <c r="F47" s="51">
        <v>0.0</v>
      </c>
      <c r="G47" s="53" t="s">
        <v>132</v>
      </c>
      <c r="H47" s="58"/>
    </row>
    <row r="48" ht="14.25" customHeight="1">
      <c r="A48" s="62">
        <v>45666.0</v>
      </c>
      <c r="B48" s="51">
        <v>3.0</v>
      </c>
      <c r="C48" s="53" t="s">
        <v>38</v>
      </c>
      <c r="D48" s="53" t="s">
        <v>125</v>
      </c>
      <c r="E48" s="51">
        <v>0.0</v>
      </c>
      <c r="F48" s="51">
        <v>0.0</v>
      </c>
      <c r="G48" s="53" t="s">
        <v>132</v>
      </c>
      <c r="H48" s="58"/>
    </row>
    <row r="49" ht="14.25" customHeight="1">
      <c r="A49" s="62">
        <v>45666.0</v>
      </c>
      <c r="B49" s="51">
        <v>3.0</v>
      </c>
      <c r="C49" s="53" t="s">
        <v>50</v>
      </c>
      <c r="D49" s="53" t="s">
        <v>125</v>
      </c>
      <c r="E49" s="51">
        <v>0.0</v>
      </c>
      <c r="F49" s="51">
        <v>0.0</v>
      </c>
      <c r="G49" s="53" t="s">
        <v>132</v>
      </c>
      <c r="H49" s="58"/>
    </row>
    <row r="50" ht="14.25" customHeight="1">
      <c r="A50" s="62">
        <v>45666.0</v>
      </c>
      <c r="B50" s="51">
        <v>3.0</v>
      </c>
      <c r="C50" s="53" t="s">
        <v>49</v>
      </c>
      <c r="D50" s="53" t="s">
        <v>125</v>
      </c>
      <c r="E50" s="51">
        <v>0.0</v>
      </c>
      <c r="F50" s="51">
        <v>0.0</v>
      </c>
      <c r="G50" s="53" t="s">
        <v>132</v>
      </c>
      <c r="H50" s="58"/>
    </row>
    <row r="51" ht="14.25" customHeight="1">
      <c r="A51" s="62">
        <v>45666.0</v>
      </c>
      <c r="B51" s="51">
        <v>3.0</v>
      </c>
      <c r="C51" s="53" t="s">
        <v>22</v>
      </c>
      <c r="D51" s="53" t="s">
        <v>125</v>
      </c>
      <c r="E51" s="51">
        <v>0.0</v>
      </c>
      <c r="F51" s="51">
        <v>0.0</v>
      </c>
      <c r="G51" s="53" t="s">
        <v>132</v>
      </c>
      <c r="H51" s="58"/>
    </row>
    <row r="52" ht="14.25" customHeight="1">
      <c r="A52" s="56">
        <v>45666.0</v>
      </c>
      <c r="B52" s="51">
        <v>3.0</v>
      </c>
      <c r="C52" s="53" t="s">
        <v>25</v>
      </c>
      <c r="D52" s="53" t="s">
        <v>130</v>
      </c>
      <c r="E52" s="51">
        <v>0.0</v>
      </c>
      <c r="F52" s="51">
        <v>1.0</v>
      </c>
      <c r="G52" s="53" t="s">
        <v>132</v>
      </c>
      <c r="H52" s="58"/>
    </row>
    <row r="53" ht="14.25" customHeight="1">
      <c r="A53" s="56">
        <v>45666.0</v>
      </c>
      <c r="B53" s="51">
        <v>3.0</v>
      </c>
      <c r="C53" s="53" t="s">
        <v>29</v>
      </c>
      <c r="D53" s="53" t="s">
        <v>130</v>
      </c>
      <c r="E53" s="51">
        <v>2.0</v>
      </c>
      <c r="F53" s="51">
        <v>0.0</v>
      </c>
      <c r="G53" s="53" t="s">
        <v>132</v>
      </c>
      <c r="H53" s="53" t="s">
        <v>128</v>
      </c>
    </row>
    <row r="54" ht="14.25" customHeight="1">
      <c r="A54" s="56">
        <v>45666.0</v>
      </c>
      <c r="B54" s="51">
        <v>3.0</v>
      </c>
      <c r="C54" s="53" t="s">
        <v>31</v>
      </c>
      <c r="D54" s="53" t="s">
        <v>130</v>
      </c>
      <c r="E54" s="51">
        <v>1.0</v>
      </c>
      <c r="F54" s="51">
        <v>1.0</v>
      </c>
      <c r="G54" s="53" t="s">
        <v>132</v>
      </c>
      <c r="H54" s="58"/>
    </row>
    <row r="55" ht="14.25" customHeight="1">
      <c r="A55" s="62">
        <v>45666.0</v>
      </c>
      <c r="B55" s="51">
        <v>3.0</v>
      </c>
      <c r="C55" s="53" t="s">
        <v>47</v>
      </c>
      <c r="D55" s="53" t="s">
        <v>130</v>
      </c>
      <c r="E55" s="51">
        <v>0.0</v>
      </c>
      <c r="F55" s="51">
        <v>0.0</v>
      </c>
      <c r="G55" s="53" t="s">
        <v>132</v>
      </c>
      <c r="H55" s="58"/>
      <c r="I55" s="55">
        <v>3.0</v>
      </c>
    </row>
    <row r="56" ht="14.25" customHeight="1">
      <c r="A56" s="62">
        <v>45666.0</v>
      </c>
      <c r="B56" s="51">
        <v>3.0</v>
      </c>
      <c r="C56" s="53" t="s">
        <v>48</v>
      </c>
      <c r="D56" s="53" t="s">
        <v>130</v>
      </c>
      <c r="E56" s="51">
        <v>0.0</v>
      </c>
      <c r="F56" s="51">
        <v>0.0</v>
      </c>
      <c r="G56" s="53" t="s">
        <v>132</v>
      </c>
      <c r="H56" s="58"/>
    </row>
    <row r="57" ht="14.25" customHeight="1">
      <c r="A57" s="62">
        <v>45666.0</v>
      </c>
      <c r="B57" s="51">
        <v>3.0</v>
      </c>
      <c r="C57" s="53" t="s">
        <v>26</v>
      </c>
      <c r="D57" s="53" t="s">
        <v>130</v>
      </c>
      <c r="E57" s="51">
        <v>0.0</v>
      </c>
      <c r="F57" s="51">
        <v>0.0</v>
      </c>
      <c r="G57" s="53" t="s">
        <v>132</v>
      </c>
      <c r="H57" s="58"/>
    </row>
    <row r="58" ht="14.25" customHeight="1">
      <c r="A58" s="62">
        <v>45666.0</v>
      </c>
      <c r="B58" s="51">
        <v>3.0</v>
      </c>
      <c r="C58" s="53" t="s">
        <v>54</v>
      </c>
      <c r="D58" s="53" t="s">
        <v>130</v>
      </c>
      <c r="E58" s="51">
        <v>0.0</v>
      </c>
      <c r="F58" s="51">
        <v>0.0</v>
      </c>
      <c r="G58" s="53" t="s">
        <v>132</v>
      </c>
      <c r="H58" s="58"/>
    </row>
    <row r="59" ht="14.25" customHeight="1">
      <c r="A59" s="62">
        <v>45666.0</v>
      </c>
      <c r="B59" s="51">
        <v>3.0</v>
      </c>
      <c r="C59" s="53" t="s">
        <v>27</v>
      </c>
      <c r="D59" s="53" t="s">
        <v>130</v>
      </c>
      <c r="E59" s="51">
        <v>0.0</v>
      </c>
      <c r="F59" s="51">
        <v>0.0</v>
      </c>
      <c r="G59" s="53" t="s">
        <v>132</v>
      </c>
      <c r="H59" s="58"/>
    </row>
    <row r="60" ht="14.25" customHeight="1">
      <c r="A60" s="62">
        <v>45666.0</v>
      </c>
      <c r="B60" s="51">
        <v>3.0</v>
      </c>
      <c r="C60" s="53" t="s">
        <v>17</v>
      </c>
      <c r="D60" s="53" t="s">
        <v>130</v>
      </c>
      <c r="E60" s="51">
        <v>0.0</v>
      </c>
      <c r="F60" s="51">
        <v>0.0</v>
      </c>
      <c r="G60" s="53" t="s">
        <v>132</v>
      </c>
      <c r="H60" s="58"/>
    </row>
    <row r="61" ht="14.25" customHeight="1">
      <c r="A61" s="63">
        <v>46035.0</v>
      </c>
      <c r="B61" s="51">
        <v>4.0</v>
      </c>
      <c r="C61" s="57" t="s">
        <v>18</v>
      </c>
      <c r="D61" s="53" t="s">
        <v>130</v>
      </c>
      <c r="E61" s="51">
        <v>0.0</v>
      </c>
      <c r="F61" s="51">
        <v>2.0</v>
      </c>
      <c r="G61" s="53" t="s">
        <v>126</v>
      </c>
      <c r="H61" s="58"/>
    </row>
    <row r="62" ht="14.25" customHeight="1">
      <c r="A62" s="63">
        <v>46035.0</v>
      </c>
      <c r="B62" s="51">
        <v>4.0</v>
      </c>
      <c r="C62" s="57" t="s">
        <v>38</v>
      </c>
      <c r="D62" s="53" t="s">
        <v>130</v>
      </c>
      <c r="E62" s="51">
        <v>2.0</v>
      </c>
      <c r="F62" s="51">
        <v>0.0</v>
      </c>
      <c r="G62" s="53" t="s">
        <v>126</v>
      </c>
      <c r="H62" s="53" t="s">
        <v>128</v>
      </c>
    </row>
    <row r="63" ht="14.25" customHeight="1">
      <c r="A63" s="63">
        <v>46035.0</v>
      </c>
      <c r="B63" s="51">
        <v>4.0</v>
      </c>
      <c r="C63" s="57" t="s">
        <v>22</v>
      </c>
      <c r="D63" s="53" t="s">
        <v>130</v>
      </c>
      <c r="E63" s="51">
        <v>1.0</v>
      </c>
      <c r="F63" s="51">
        <v>0.0</v>
      </c>
      <c r="G63" s="53" t="s">
        <v>126</v>
      </c>
      <c r="H63" s="58"/>
    </row>
    <row r="64" ht="14.25" customHeight="1">
      <c r="A64" s="63">
        <v>46035.0</v>
      </c>
      <c r="B64" s="51">
        <v>4.0</v>
      </c>
      <c r="C64" s="57" t="s">
        <v>27</v>
      </c>
      <c r="D64" s="53" t="s">
        <v>130</v>
      </c>
      <c r="E64" s="51">
        <v>1.0</v>
      </c>
      <c r="F64" s="51">
        <v>0.0</v>
      </c>
      <c r="G64" s="53" t="s">
        <v>126</v>
      </c>
      <c r="H64" s="58"/>
    </row>
    <row r="65" ht="14.25" customHeight="1">
      <c r="A65" s="63">
        <v>46035.0</v>
      </c>
      <c r="B65" s="51">
        <v>4.0</v>
      </c>
      <c r="C65" s="57" t="s">
        <v>35</v>
      </c>
      <c r="D65" s="53" t="s">
        <v>130</v>
      </c>
      <c r="E65" s="51">
        <v>0.0</v>
      </c>
      <c r="F65" s="51">
        <v>1.0</v>
      </c>
      <c r="G65" s="53" t="s">
        <v>126</v>
      </c>
      <c r="H65" s="58"/>
    </row>
    <row r="66" ht="14.25" customHeight="1">
      <c r="A66" s="63">
        <v>46035.0</v>
      </c>
      <c r="B66" s="51">
        <v>4.0</v>
      </c>
      <c r="C66" s="57" t="s">
        <v>55</v>
      </c>
      <c r="D66" s="53" t="s">
        <v>130</v>
      </c>
      <c r="E66" s="51">
        <v>0.0</v>
      </c>
      <c r="F66" s="51">
        <v>1.0</v>
      </c>
      <c r="G66" s="53" t="s">
        <v>126</v>
      </c>
      <c r="H66" s="58"/>
    </row>
    <row r="67" ht="14.25" customHeight="1">
      <c r="A67" s="56">
        <v>46035.0</v>
      </c>
      <c r="B67" s="51">
        <v>4.0</v>
      </c>
      <c r="C67" s="57" t="s">
        <v>47</v>
      </c>
      <c r="D67" s="53" t="s">
        <v>130</v>
      </c>
      <c r="E67" s="51">
        <v>0.0</v>
      </c>
      <c r="F67" s="51">
        <v>0.0</v>
      </c>
      <c r="G67" s="53" t="s">
        <v>126</v>
      </c>
      <c r="H67" s="58"/>
      <c r="I67" s="55">
        <v>1.0</v>
      </c>
    </row>
    <row r="68" ht="14.25" customHeight="1">
      <c r="A68" s="56">
        <v>46035.0</v>
      </c>
      <c r="B68" s="51">
        <v>4.0</v>
      </c>
      <c r="C68" s="57" t="s">
        <v>50</v>
      </c>
      <c r="D68" s="53" t="s">
        <v>130</v>
      </c>
      <c r="E68" s="51">
        <v>0.0</v>
      </c>
      <c r="F68" s="51">
        <v>0.0</v>
      </c>
      <c r="G68" s="53" t="s">
        <v>126</v>
      </c>
      <c r="H68" s="58"/>
    </row>
    <row r="69" ht="14.25" customHeight="1">
      <c r="A69" s="56">
        <v>46035.0</v>
      </c>
      <c r="B69" s="51">
        <v>4.0</v>
      </c>
      <c r="C69" s="57" t="s">
        <v>37</v>
      </c>
      <c r="D69" s="53" t="s">
        <v>130</v>
      </c>
      <c r="E69" s="51">
        <v>0.0</v>
      </c>
      <c r="F69" s="51">
        <v>0.0</v>
      </c>
      <c r="G69" s="53" t="s">
        <v>126</v>
      </c>
      <c r="H69" s="58"/>
    </row>
    <row r="70" ht="14.25" customHeight="1">
      <c r="A70" s="56">
        <v>46035.0</v>
      </c>
      <c r="B70" s="51">
        <v>4.0</v>
      </c>
      <c r="C70" s="57" t="s">
        <v>31</v>
      </c>
      <c r="D70" s="53" t="s">
        <v>130</v>
      </c>
      <c r="E70" s="51">
        <v>0.0</v>
      </c>
      <c r="F70" s="51">
        <v>0.0</v>
      </c>
      <c r="G70" s="53" t="s">
        <v>126</v>
      </c>
      <c r="H70" s="58"/>
    </row>
    <row r="71" ht="14.25" customHeight="1">
      <c r="A71" s="63">
        <v>46035.0</v>
      </c>
      <c r="B71" s="51">
        <v>4.0</v>
      </c>
      <c r="C71" s="57" t="s">
        <v>41</v>
      </c>
      <c r="D71" s="53" t="s">
        <v>125</v>
      </c>
      <c r="E71" s="51">
        <v>1.0</v>
      </c>
      <c r="F71" s="51">
        <v>0.0</v>
      </c>
      <c r="G71" s="53" t="s">
        <v>131</v>
      </c>
      <c r="H71" s="53" t="s">
        <v>128</v>
      </c>
    </row>
    <row r="72" ht="14.25" customHeight="1">
      <c r="A72" s="63">
        <v>46035.0</v>
      </c>
      <c r="B72" s="51">
        <v>4.0</v>
      </c>
      <c r="C72" s="57" t="s">
        <v>25</v>
      </c>
      <c r="D72" s="53" t="s">
        <v>125</v>
      </c>
      <c r="E72" s="51">
        <v>0.0</v>
      </c>
      <c r="F72" s="51">
        <v>1.0</v>
      </c>
      <c r="G72" s="53" t="s">
        <v>131</v>
      </c>
      <c r="H72" s="58"/>
    </row>
    <row r="73" ht="14.25" customHeight="1">
      <c r="A73" s="56">
        <v>46035.0</v>
      </c>
      <c r="B73" s="51">
        <v>4.0</v>
      </c>
      <c r="C73" s="57" t="s">
        <v>46</v>
      </c>
      <c r="D73" s="53" t="s">
        <v>125</v>
      </c>
      <c r="E73" s="51">
        <v>0.0</v>
      </c>
      <c r="F73" s="51">
        <v>0.0</v>
      </c>
      <c r="G73" s="53" t="s">
        <v>131</v>
      </c>
      <c r="H73" s="58"/>
      <c r="I73" s="55">
        <v>4.0</v>
      </c>
    </row>
    <row r="74" ht="14.25" customHeight="1">
      <c r="A74" s="56">
        <v>46035.0</v>
      </c>
      <c r="B74" s="51">
        <v>4.0</v>
      </c>
      <c r="C74" s="57" t="s">
        <v>36</v>
      </c>
      <c r="D74" s="53" t="s">
        <v>125</v>
      </c>
      <c r="E74" s="51">
        <v>0.0</v>
      </c>
      <c r="F74" s="51">
        <v>0.0</v>
      </c>
      <c r="G74" s="53" t="s">
        <v>131</v>
      </c>
      <c r="H74" s="58"/>
    </row>
    <row r="75" ht="14.25" customHeight="1">
      <c r="A75" s="56">
        <v>46035.0</v>
      </c>
      <c r="B75" s="51">
        <v>4.0</v>
      </c>
      <c r="C75" s="57" t="s">
        <v>26</v>
      </c>
      <c r="D75" s="53" t="s">
        <v>125</v>
      </c>
      <c r="E75" s="51">
        <v>0.0</v>
      </c>
      <c r="F75" s="51">
        <v>0.0</v>
      </c>
      <c r="G75" s="53" t="s">
        <v>131</v>
      </c>
      <c r="H75" s="58"/>
    </row>
    <row r="76" ht="14.25" customHeight="1">
      <c r="A76" s="56">
        <v>46035.0</v>
      </c>
      <c r="B76" s="51">
        <v>4.0</v>
      </c>
      <c r="C76" s="57" t="s">
        <v>48</v>
      </c>
      <c r="D76" s="53" t="s">
        <v>125</v>
      </c>
      <c r="E76" s="51">
        <v>0.0</v>
      </c>
      <c r="F76" s="51">
        <v>0.0</v>
      </c>
      <c r="G76" s="53" t="s">
        <v>131</v>
      </c>
      <c r="H76" s="58"/>
    </row>
    <row r="77" ht="14.25" customHeight="1">
      <c r="A77" s="56">
        <v>46035.0</v>
      </c>
      <c r="B77" s="51">
        <v>4.0</v>
      </c>
      <c r="C77" s="57" t="s">
        <v>29</v>
      </c>
      <c r="D77" s="53" t="s">
        <v>125</v>
      </c>
      <c r="E77" s="51">
        <v>0.0</v>
      </c>
      <c r="F77" s="51">
        <v>0.0</v>
      </c>
      <c r="G77" s="53" t="s">
        <v>131</v>
      </c>
      <c r="H77" s="58"/>
    </row>
    <row r="78" ht="14.25" customHeight="1">
      <c r="A78" s="56">
        <v>46035.0</v>
      </c>
      <c r="B78" s="51">
        <v>4.0</v>
      </c>
      <c r="C78" s="57" t="s">
        <v>17</v>
      </c>
      <c r="D78" s="53" t="s">
        <v>125</v>
      </c>
      <c r="E78" s="51">
        <v>0.0</v>
      </c>
      <c r="F78" s="51">
        <v>0.0</v>
      </c>
      <c r="G78" s="53" t="s">
        <v>131</v>
      </c>
      <c r="H78" s="58"/>
    </row>
    <row r="79" ht="14.25" customHeight="1">
      <c r="A79" s="56">
        <v>46035.0</v>
      </c>
      <c r="B79" s="51">
        <v>4.0</v>
      </c>
      <c r="C79" s="57" t="s">
        <v>28</v>
      </c>
      <c r="D79" s="53" t="s">
        <v>125</v>
      </c>
      <c r="E79" s="51">
        <v>0.0</v>
      </c>
      <c r="F79" s="51">
        <v>0.0</v>
      </c>
      <c r="G79" s="53" t="s">
        <v>131</v>
      </c>
      <c r="H79" s="58"/>
    </row>
    <row r="80" ht="14.25" customHeight="1">
      <c r="A80" s="56">
        <v>46035.0</v>
      </c>
      <c r="B80" s="51">
        <v>4.0</v>
      </c>
      <c r="C80" s="57" t="s">
        <v>23</v>
      </c>
      <c r="D80" s="53" t="s">
        <v>125</v>
      </c>
      <c r="E80" s="51">
        <v>0.0</v>
      </c>
      <c r="F80" s="51">
        <v>0.0</v>
      </c>
      <c r="G80" s="53" t="s">
        <v>131</v>
      </c>
      <c r="H80" s="58"/>
    </row>
    <row r="81" ht="14.25" customHeight="1">
      <c r="A81" s="62">
        <v>46038.0</v>
      </c>
      <c r="B81" s="51">
        <v>5.0</v>
      </c>
      <c r="C81" s="53" t="s">
        <v>18</v>
      </c>
      <c r="D81" s="53" t="s">
        <v>130</v>
      </c>
      <c r="E81" s="51">
        <v>1.0</v>
      </c>
      <c r="F81" s="51">
        <v>0.0</v>
      </c>
      <c r="G81" s="53" t="s">
        <v>126</v>
      </c>
      <c r="H81" s="58"/>
    </row>
    <row r="82" ht="14.25" customHeight="1">
      <c r="A82" s="62">
        <v>46038.0</v>
      </c>
      <c r="B82" s="51">
        <v>5.0</v>
      </c>
      <c r="C82" s="53" t="s">
        <v>46</v>
      </c>
      <c r="D82" s="53" t="s">
        <v>130</v>
      </c>
      <c r="E82" s="51">
        <v>0.0</v>
      </c>
      <c r="F82" s="51">
        <v>0.0</v>
      </c>
      <c r="G82" s="53" t="s">
        <v>131</v>
      </c>
      <c r="H82" s="53" t="s">
        <v>128</v>
      </c>
      <c r="I82" s="55">
        <v>2.0</v>
      </c>
    </row>
    <row r="83" ht="14.25" customHeight="1">
      <c r="A83" s="62">
        <v>46038.0</v>
      </c>
      <c r="B83" s="51">
        <v>5.0</v>
      </c>
      <c r="C83" s="53" t="s">
        <v>52</v>
      </c>
      <c r="D83" s="53" t="s">
        <v>130</v>
      </c>
      <c r="E83" s="51">
        <v>0.0</v>
      </c>
      <c r="F83" s="51">
        <v>0.0</v>
      </c>
      <c r="G83" s="53" t="s">
        <v>131</v>
      </c>
      <c r="H83" s="58"/>
    </row>
    <row r="84" ht="14.25" customHeight="1">
      <c r="A84" s="62">
        <v>46038.0</v>
      </c>
      <c r="B84" s="51">
        <v>5.0</v>
      </c>
      <c r="C84" s="53" t="s">
        <v>26</v>
      </c>
      <c r="D84" s="53" t="s">
        <v>130</v>
      </c>
      <c r="E84" s="51">
        <v>0.0</v>
      </c>
      <c r="F84" s="51">
        <v>0.0</v>
      </c>
      <c r="G84" s="53" t="s">
        <v>131</v>
      </c>
      <c r="H84" s="58"/>
    </row>
    <row r="85" ht="14.25" customHeight="1">
      <c r="A85" s="62">
        <v>46038.0</v>
      </c>
      <c r="B85" s="51">
        <v>5.0</v>
      </c>
      <c r="C85" s="53" t="s">
        <v>50</v>
      </c>
      <c r="D85" s="53" t="s">
        <v>130</v>
      </c>
      <c r="E85" s="51">
        <v>0.0</v>
      </c>
      <c r="F85" s="51">
        <v>0.0</v>
      </c>
      <c r="G85" s="53" t="s">
        <v>131</v>
      </c>
      <c r="H85" s="58"/>
    </row>
    <row r="86" ht="14.25" customHeight="1">
      <c r="A86" s="62">
        <v>46038.0</v>
      </c>
      <c r="B86" s="51">
        <v>5.0</v>
      </c>
      <c r="C86" s="53" t="s">
        <v>37</v>
      </c>
      <c r="D86" s="53" t="s">
        <v>130</v>
      </c>
      <c r="E86" s="51">
        <v>0.0</v>
      </c>
      <c r="F86" s="51">
        <v>0.0</v>
      </c>
      <c r="G86" s="53" t="s">
        <v>131</v>
      </c>
      <c r="H86" s="58"/>
    </row>
    <row r="87" ht="14.25" customHeight="1">
      <c r="A87" s="62">
        <v>46038.0</v>
      </c>
      <c r="B87" s="51">
        <v>5.0</v>
      </c>
      <c r="C87" s="53" t="s">
        <v>28</v>
      </c>
      <c r="D87" s="53" t="s">
        <v>130</v>
      </c>
      <c r="E87" s="51">
        <v>0.0</v>
      </c>
      <c r="F87" s="51">
        <v>0.0</v>
      </c>
      <c r="G87" s="53" t="s">
        <v>131</v>
      </c>
      <c r="H87" s="58"/>
    </row>
    <row r="88" ht="14.25" customHeight="1">
      <c r="A88" s="62">
        <v>46038.0</v>
      </c>
      <c r="B88" s="51">
        <v>5.0</v>
      </c>
      <c r="C88" s="53" t="s">
        <v>31</v>
      </c>
      <c r="D88" s="53" t="s">
        <v>130</v>
      </c>
      <c r="E88" s="51">
        <v>0.0</v>
      </c>
      <c r="F88" s="51">
        <v>0.0</v>
      </c>
      <c r="G88" s="53" t="s">
        <v>131</v>
      </c>
      <c r="H88" s="58"/>
    </row>
    <row r="89" ht="14.25" customHeight="1">
      <c r="A89" s="62">
        <v>46038.0</v>
      </c>
      <c r="B89" s="51">
        <v>5.0</v>
      </c>
      <c r="C89" s="53" t="s">
        <v>29</v>
      </c>
      <c r="D89" s="53" t="s">
        <v>130</v>
      </c>
      <c r="E89" s="51">
        <v>0.0</v>
      </c>
      <c r="F89" s="51">
        <v>0.0</v>
      </c>
      <c r="G89" s="53" t="s">
        <v>131</v>
      </c>
      <c r="H89" s="58"/>
    </row>
    <row r="90" ht="14.25" customHeight="1">
      <c r="A90" s="62">
        <v>46038.0</v>
      </c>
      <c r="B90" s="51">
        <v>5.0</v>
      </c>
      <c r="C90" s="53" t="s">
        <v>22</v>
      </c>
      <c r="D90" s="53" t="s">
        <v>125</v>
      </c>
      <c r="E90" s="51">
        <v>2.0</v>
      </c>
      <c r="F90" s="51">
        <v>0.0</v>
      </c>
      <c r="G90" s="53" t="s">
        <v>126</v>
      </c>
      <c r="H90" s="53" t="s">
        <v>128</v>
      </c>
    </row>
    <row r="91" ht="14.25" customHeight="1">
      <c r="A91" s="62">
        <v>46038.0</v>
      </c>
      <c r="B91" s="51">
        <v>5.0</v>
      </c>
      <c r="C91" s="53" t="s">
        <v>27</v>
      </c>
      <c r="D91" s="53" t="s">
        <v>125</v>
      </c>
      <c r="E91" s="51">
        <v>0.0</v>
      </c>
      <c r="F91" s="51">
        <v>1.0</v>
      </c>
      <c r="G91" s="53" t="s">
        <v>126</v>
      </c>
      <c r="H91" s="58"/>
    </row>
    <row r="92" ht="14.25" customHeight="1">
      <c r="A92" s="62">
        <v>46038.0</v>
      </c>
      <c r="B92" s="51">
        <v>5.0</v>
      </c>
      <c r="C92" s="53" t="s">
        <v>54</v>
      </c>
      <c r="D92" s="53" t="s">
        <v>125</v>
      </c>
      <c r="E92" s="51">
        <v>0.0</v>
      </c>
      <c r="F92" s="51">
        <v>0.0</v>
      </c>
      <c r="G92" s="53" t="s">
        <v>126</v>
      </c>
      <c r="H92" s="58"/>
    </row>
    <row r="93" ht="14.25" customHeight="1">
      <c r="A93" s="62">
        <v>46038.0</v>
      </c>
      <c r="B93" s="51">
        <v>5.0</v>
      </c>
      <c r="C93" s="53" t="s">
        <v>38</v>
      </c>
      <c r="D93" s="53" t="s">
        <v>125</v>
      </c>
      <c r="E93" s="51">
        <v>0.0</v>
      </c>
      <c r="F93" s="51">
        <v>0.0</v>
      </c>
      <c r="G93" s="53" t="s">
        <v>126</v>
      </c>
      <c r="H93" s="58"/>
    </row>
    <row r="94" ht="14.25" customHeight="1">
      <c r="A94" s="62">
        <v>46038.0</v>
      </c>
      <c r="B94" s="51">
        <v>5.0</v>
      </c>
      <c r="C94" s="53" t="s">
        <v>25</v>
      </c>
      <c r="D94" s="53" t="s">
        <v>125</v>
      </c>
      <c r="E94" s="51">
        <v>0.0</v>
      </c>
      <c r="F94" s="51">
        <v>0.0</v>
      </c>
      <c r="G94" s="53" t="s">
        <v>126</v>
      </c>
      <c r="H94" s="58"/>
    </row>
    <row r="95" ht="14.25" customHeight="1">
      <c r="A95" s="62">
        <v>46038.0</v>
      </c>
      <c r="B95" s="51">
        <v>5.0</v>
      </c>
      <c r="C95" s="53" t="s">
        <v>47</v>
      </c>
      <c r="D95" s="53" t="s">
        <v>125</v>
      </c>
      <c r="E95" s="51">
        <v>0.0</v>
      </c>
      <c r="F95" s="51">
        <v>0.0</v>
      </c>
      <c r="G95" s="53" t="s">
        <v>126</v>
      </c>
      <c r="H95" s="58"/>
      <c r="I95" s="55">
        <v>1.0</v>
      </c>
    </row>
    <row r="96" ht="14.25" customHeight="1">
      <c r="A96" s="62">
        <v>46038.0</v>
      </c>
      <c r="B96" s="51">
        <v>5.0</v>
      </c>
      <c r="C96" s="53" t="s">
        <v>17</v>
      </c>
      <c r="D96" s="53" t="s">
        <v>125</v>
      </c>
      <c r="E96" s="51">
        <v>0.0</v>
      </c>
      <c r="F96" s="51">
        <v>0.0</v>
      </c>
      <c r="G96" s="53" t="s">
        <v>126</v>
      </c>
      <c r="H96" s="58"/>
    </row>
    <row r="97" ht="14.25" customHeight="1">
      <c r="A97" s="62">
        <v>46038.0</v>
      </c>
      <c r="B97" s="51">
        <v>5.0</v>
      </c>
      <c r="C97" s="53" t="s">
        <v>36</v>
      </c>
      <c r="D97" s="53" t="s">
        <v>125</v>
      </c>
      <c r="E97" s="51">
        <v>0.0</v>
      </c>
      <c r="F97" s="51">
        <v>0.0</v>
      </c>
      <c r="G97" s="53" t="s">
        <v>131</v>
      </c>
      <c r="H97" s="58"/>
    </row>
    <row r="98" ht="14.25" customHeight="1">
      <c r="A98" s="62">
        <v>46038.0</v>
      </c>
      <c r="B98" s="51">
        <v>5.0</v>
      </c>
      <c r="C98" s="53" t="s">
        <v>32</v>
      </c>
      <c r="D98" s="53" t="s">
        <v>125</v>
      </c>
      <c r="E98" s="51">
        <v>0.0</v>
      </c>
      <c r="F98" s="51">
        <v>0.0</v>
      </c>
      <c r="G98" s="53" t="s">
        <v>131</v>
      </c>
      <c r="H98" s="58"/>
    </row>
    <row r="99" ht="14.25" customHeight="1">
      <c r="A99" s="56">
        <v>46042.0</v>
      </c>
      <c r="B99" s="51">
        <v>6.0</v>
      </c>
      <c r="C99" s="53" t="s">
        <v>28</v>
      </c>
      <c r="D99" s="53" t="s">
        <v>125</v>
      </c>
      <c r="E99" s="51">
        <v>1.0</v>
      </c>
      <c r="F99" s="51">
        <v>0.0</v>
      </c>
      <c r="G99" s="53" t="s">
        <v>126</v>
      </c>
      <c r="H99" s="58"/>
    </row>
    <row r="100" ht="14.25" customHeight="1">
      <c r="A100" s="56">
        <v>46042.0</v>
      </c>
      <c r="B100" s="51">
        <v>6.0</v>
      </c>
      <c r="C100" s="53" t="s">
        <v>21</v>
      </c>
      <c r="D100" s="53" t="s">
        <v>125</v>
      </c>
      <c r="E100" s="51">
        <v>2.0</v>
      </c>
      <c r="F100" s="51">
        <v>1.0</v>
      </c>
      <c r="G100" s="53" t="s">
        <v>126</v>
      </c>
      <c r="H100" s="53" t="s">
        <v>128</v>
      </c>
    </row>
    <row r="101" ht="14.25" customHeight="1">
      <c r="A101" s="56">
        <v>46042.0</v>
      </c>
      <c r="B101" s="51">
        <v>6.0</v>
      </c>
      <c r="C101" s="53" t="s">
        <v>133</v>
      </c>
      <c r="D101" s="53" t="s">
        <v>125</v>
      </c>
      <c r="E101" s="51">
        <v>0.0</v>
      </c>
      <c r="F101" s="51">
        <v>0.0</v>
      </c>
      <c r="G101" s="53" t="s">
        <v>126</v>
      </c>
      <c r="H101" s="58"/>
      <c r="I101" s="55">
        <v>1.0</v>
      </c>
    </row>
    <row r="102" ht="14.25" customHeight="1">
      <c r="A102" s="56">
        <v>46042.0</v>
      </c>
      <c r="B102" s="51">
        <v>6.0</v>
      </c>
      <c r="C102" s="53" t="s">
        <v>36</v>
      </c>
      <c r="D102" s="53" t="s">
        <v>125</v>
      </c>
      <c r="E102" s="51">
        <v>0.0</v>
      </c>
      <c r="F102" s="51">
        <v>0.0</v>
      </c>
      <c r="G102" s="53" t="s">
        <v>126</v>
      </c>
      <c r="H102" s="58"/>
    </row>
    <row r="103" ht="14.25" customHeight="1">
      <c r="A103" s="56">
        <v>46042.0</v>
      </c>
      <c r="B103" s="51">
        <v>6.0</v>
      </c>
      <c r="C103" s="53" t="s">
        <v>27</v>
      </c>
      <c r="D103" s="53" t="s">
        <v>125</v>
      </c>
      <c r="E103" s="51">
        <v>0.0</v>
      </c>
      <c r="F103" s="51">
        <v>0.0</v>
      </c>
      <c r="G103" s="53" t="s">
        <v>126</v>
      </c>
      <c r="H103" s="58"/>
    </row>
    <row r="104" ht="14.25" customHeight="1">
      <c r="A104" s="56">
        <v>46042.0</v>
      </c>
      <c r="B104" s="51">
        <v>6.0</v>
      </c>
      <c r="C104" s="53" t="s">
        <v>52</v>
      </c>
      <c r="D104" s="53" t="s">
        <v>125</v>
      </c>
      <c r="E104" s="51">
        <v>0.0</v>
      </c>
      <c r="F104" s="51">
        <v>0.0</v>
      </c>
      <c r="G104" s="53" t="s">
        <v>126</v>
      </c>
      <c r="H104" s="58"/>
    </row>
    <row r="105" ht="14.25" customHeight="1">
      <c r="A105" s="56">
        <v>46042.0</v>
      </c>
      <c r="B105" s="51">
        <v>6.0</v>
      </c>
      <c r="C105" s="53" t="s">
        <v>49</v>
      </c>
      <c r="D105" s="53" t="s">
        <v>125</v>
      </c>
      <c r="E105" s="51">
        <v>0.0</v>
      </c>
      <c r="F105" s="51">
        <v>0.0</v>
      </c>
      <c r="G105" s="53" t="s">
        <v>126</v>
      </c>
      <c r="H105" s="58"/>
    </row>
    <row r="106" ht="14.25" customHeight="1">
      <c r="A106" s="56">
        <v>46042.0</v>
      </c>
      <c r="B106" s="51">
        <v>6.0</v>
      </c>
      <c r="C106" s="53" t="s">
        <v>25</v>
      </c>
      <c r="D106" s="53" t="s">
        <v>125</v>
      </c>
      <c r="E106" s="51">
        <v>0.0</v>
      </c>
      <c r="F106" s="51">
        <v>0.0</v>
      </c>
      <c r="G106" s="53" t="s">
        <v>126</v>
      </c>
      <c r="H106" s="58"/>
    </row>
    <row r="107" ht="14.25" customHeight="1">
      <c r="A107" s="56">
        <v>46042.0</v>
      </c>
      <c r="B107" s="51">
        <v>6.0</v>
      </c>
      <c r="C107" s="53" t="s">
        <v>29</v>
      </c>
      <c r="D107" s="53" t="s">
        <v>125</v>
      </c>
      <c r="E107" s="51">
        <v>0.0</v>
      </c>
      <c r="F107" s="51">
        <v>0.0</v>
      </c>
      <c r="G107" s="53" t="s">
        <v>126</v>
      </c>
      <c r="H107" s="58"/>
    </row>
    <row r="108" ht="14.25" customHeight="1">
      <c r="A108" s="56">
        <v>46042.0</v>
      </c>
      <c r="B108" s="51">
        <v>6.0</v>
      </c>
      <c r="C108" s="53" t="s">
        <v>31</v>
      </c>
      <c r="D108" s="53" t="s">
        <v>125</v>
      </c>
      <c r="E108" s="51">
        <v>0.0</v>
      </c>
      <c r="F108" s="51">
        <v>0.0</v>
      </c>
      <c r="G108" s="53" t="s">
        <v>126</v>
      </c>
      <c r="H108" s="58"/>
    </row>
    <row r="109" ht="14.25" customHeight="1">
      <c r="A109" s="56">
        <v>46042.0</v>
      </c>
      <c r="B109" s="51">
        <v>6.0</v>
      </c>
      <c r="C109" s="53" t="s">
        <v>127</v>
      </c>
      <c r="D109" s="53" t="s">
        <v>130</v>
      </c>
      <c r="E109" s="51">
        <v>0.0</v>
      </c>
      <c r="F109" s="51">
        <v>1.0</v>
      </c>
      <c r="G109" s="53" t="s">
        <v>131</v>
      </c>
      <c r="H109" s="58"/>
    </row>
    <row r="110" ht="14.25" customHeight="1">
      <c r="A110" s="56">
        <v>46042.0</v>
      </c>
      <c r="B110" s="51">
        <v>6.0</v>
      </c>
      <c r="C110" s="53" t="s">
        <v>17</v>
      </c>
      <c r="D110" s="53" t="s">
        <v>130</v>
      </c>
      <c r="E110" s="51">
        <v>1.0</v>
      </c>
      <c r="F110" s="51">
        <v>0.0</v>
      </c>
      <c r="G110" s="53" t="s">
        <v>131</v>
      </c>
      <c r="H110" s="58"/>
    </row>
    <row r="111" ht="14.25" customHeight="1">
      <c r="A111" s="56">
        <v>46042.0</v>
      </c>
      <c r="B111" s="51">
        <v>6.0</v>
      </c>
      <c r="C111" s="53" t="s">
        <v>134</v>
      </c>
      <c r="D111" s="53" t="s">
        <v>130</v>
      </c>
      <c r="E111" s="51">
        <v>0.0</v>
      </c>
      <c r="F111" s="51">
        <v>0.0</v>
      </c>
      <c r="G111" s="53" t="s">
        <v>131</v>
      </c>
      <c r="H111" s="58"/>
      <c r="I111" s="55">
        <v>3.0</v>
      </c>
    </row>
    <row r="112" ht="14.25" customHeight="1">
      <c r="A112" s="56">
        <v>46042.0</v>
      </c>
      <c r="B112" s="51">
        <v>6.0</v>
      </c>
      <c r="C112" s="53" t="s">
        <v>50</v>
      </c>
      <c r="D112" s="53" t="s">
        <v>130</v>
      </c>
      <c r="E112" s="51">
        <v>0.0</v>
      </c>
      <c r="F112" s="51">
        <v>0.0</v>
      </c>
      <c r="G112" s="53" t="s">
        <v>131</v>
      </c>
      <c r="H112" s="58"/>
    </row>
    <row r="113" ht="14.25" customHeight="1">
      <c r="A113" s="56">
        <v>46042.0</v>
      </c>
      <c r="B113" s="51">
        <v>6.0</v>
      </c>
      <c r="C113" s="53" t="s">
        <v>38</v>
      </c>
      <c r="D113" s="53" t="s">
        <v>130</v>
      </c>
      <c r="E113" s="51">
        <v>0.0</v>
      </c>
      <c r="F113" s="51">
        <v>0.0</v>
      </c>
      <c r="G113" s="53" t="s">
        <v>131</v>
      </c>
      <c r="H113" s="58"/>
    </row>
    <row r="114" ht="14.25" customHeight="1">
      <c r="A114" s="56">
        <v>46042.0</v>
      </c>
      <c r="B114" s="51">
        <v>6.0</v>
      </c>
      <c r="C114" s="53" t="s">
        <v>37</v>
      </c>
      <c r="D114" s="53" t="s">
        <v>130</v>
      </c>
      <c r="E114" s="51">
        <v>0.0</v>
      </c>
      <c r="F114" s="51">
        <v>0.0</v>
      </c>
      <c r="G114" s="53" t="s">
        <v>131</v>
      </c>
      <c r="H114" s="53" t="s">
        <v>128</v>
      </c>
    </row>
    <row r="115" ht="14.25" customHeight="1">
      <c r="A115" s="56">
        <v>46042.0</v>
      </c>
      <c r="B115" s="51">
        <v>6.0</v>
      </c>
      <c r="C115" s="53" t="s">
        <v>22</v>
      </c>
      <c r="D115" s="53" t="s">
        <v>130</v>
      </c>
      <c r="E115" s="51">
        <v>0.0</v>
      </c>
      <c r="F115" s="51">
        <v>0.0</v>
      </c>
      <c r="G115" s="53" t="s">
        <v>131</v>
      </c>
      <c r="H115" s="58"/>
    </row>
    <row r="116" ht="14.25" customHeight="1">
      <c r="A116" s="56">
        <v>46042.0</v>
      </c>
      <c r="B116" s="51">
        <v>6.0</v>
      </c>
      <c r="C116" s="53" t="s">
        <v>135</v>
      </c>
      <c r="D116" s="53" t="s">
        <v>130</v>
      </c>
      <c r="E116" s="51">
        <v>0.0</v>
      </c>
      <c r="F116" s="51">
        <v>0.0</v>
      </c>
      <c r="G116" s="53" t="s">
        <v>131</v>
      </c>
      <c r="H116" s="58"/>
    </row>
    <row r="117" ht="14.25" customHeight="1">
      <c r="A117" s="56">
        <v>46042.0</v>
      </c>
      <c r="B117" s="51">
        <v>6.0</v>
      </c>
      <c r="C117" s="53" t="s">
        <v>23</v>
      </c>
      <c r="D117" s="53" t="s">
        <v>130</v>
      </c>
      <c r="E117" s="51">
        <v>0.0</v>
      </c>
      <c r="F117" s="51">
        <v>0.0</v>
      </c>
      <c r="G117" s="53" t="s">
        <v>131</v>
      </c>
      <c r="H117" s="58"/>
    </row>
    <row r="118" ht="14.25" customHeight="1">
      <c r="A118" s="56">
        <v>46042.0</v>
      </c>
      <c r="B118" s="51">
        <v>6.0</v>
      </c>
      <c r="C118" s="53" t="s">
        <v>18</v>
      </c>
      <c r="D118" s="53" t="s">
        <v>130</v>
      </c>
      <c r="E118" s="51">
        <v>0.0</v>
      </c>
      <c r="F118" s="51">
        <v>0.0</v>
      </c>
      <c r="G118" s="53" t="s">
        <v>131</v>
      </c>
      <c r="H118" s="58"/>
    </row>
    <row r="119" ht="14.25" customHeight="1">
      <c r="A119" s="64">
        <v>46045.0</v>
      </c>
      <c r="B119" s="65">
        <v>7.0</v>
      </c>
      <c r="C119" s="66" t="s">
        <v>35</v>
      </c>
      <c r="D119" s="67" t="s">
        <v>125</v>
      </c>
      <c r="E119" s="65">
        <v>0.0</v>
      </c>
      <c r="F119" s="65">
        <v>0.0</v>
      </c>
      <c r="G119" s="67" t="s">
        <v>131</v>
      </c>
      <c r="H119" s="68"/>
      <c r="I119" s="65">
        <v>6.0</v>
      </c>
    </row>
    <row r="120" ht="14.25" customHeight="1">
      <c r="A120" s="64">
        <v>46045.0</v>
      </c>
      <c r="B120" s="65">
        <v>7.0</v>
      </c>
      <c r="C120" s="66" t="s">
        <v>127</v>
      </c>
      <c r="D120" s="67" t="s">
        <v>125</v>
      </c>
      <c r="E120" s="65">
        <v>0.0</v>
      </c>
      <c r="F120" s="65">
        <v>0.0</v>
      </c>
      <c r="G120" s="67" t="s">
        <v>131</v>
      </c>
      <c r="H120" s="68"/>
      <c r="I120" s="68"/>
    </row>
    <row r="121" ht="14.25" customHeight="1">
      <c r="A121" s="64">
        <v>46045.0</v>
      </c>
      <c r="B121" s="65">
        <v>7.0</v>
      </c>
      <c r="C121" s="66" t="s">
        <v>23</v>
      </c>
      <c r="D121" s="67" t="s">
        <v>125</v>
      </c>
      <c r="E121" s="65">
        <v>1.0</v>
      </c>
      <c r="F121" s="65">
        <v>0.0</v>
      </c>
      <c r="G121" s="67" t="s">
        <v>131</v>
      </c>
      <c r="H121" s="68"/>
      <c r="I121" s="68"/>
    </row>
    <row r="122" ht="14.25" customHeight="1">
      <c r="A122" s="64">
        <v>46045.0</v>
      </c>
      <c r="B122" s="65">
        <v>7.0</v>
      </c>
      <c r="C122" s="66" t="s">
        <v>36</v>
      </c>
      <c r="D122" s="67" t="s">
        <v>125</v>
      </c>
      <c r="E122" s="65">
        <v>0.0</v>
      </c>
      <c r="F122" s="65">
        <v>0.0</v>
      </c>
      <c r="G122" s="67" t="s">
        <v>131</v>
      </c>
      <c r="H122" s="68"/>
      <c r="I122" s="68"/>
    </row>
    <row r="123" ht="14.25" customHeight="1">
      <c r="A123" s="64">
        <v>46045.0</v>
      </c>
      <c r="B123" s="65">
        <v>7.0</v>
      </c>
      <c r="C123" s="66" t="s">
        <v>22</v>
      </c>
      <c r="D123" s="67" t="s">
        <v>125</v>
      </c>
      <c r="E123" s="65">
        <v>0.0</v>
      </c>
      <c r="F123" s="65">
        <v>2.0</v>
      </c>
      <c r="G123" s="67" t="s">
        <v>131</v>
      </c>
      <c r="H123" s="67" t="s">
        <v>128</v>
      </c>
      <c r="I123" s="68"/>
    </row>
    <row r="124" ht="14.25" customHeight="1">
      <c r="A124" s="64">
        <v>46045.0</v>
      </c>
      <c r="B124" s="65">
        <v>7.0</v>
      </c>
      <c r="C124" s="66" t="s">
        <v>135</v>
      </c>
      <c r="D124" s="67" t="s">
        <v>125</v>
      </c>
      <c r="E124" s="65">
        <v>0.0</v>
      </c>
      <c r="F124" s="65">
        <v>0.0</v>
      </c>
      <c r="G124" s="67" t="s">
        <v>131</v>
      </c>
      <c r="H124" s="68"/>
      <c r="I124" s="68"/>
    </row>
    <row r="125" ht="14.25" customHeight="1">
      <c r="A125" s="64">
        <v>46045.0</v>
      </c>
      <c r="B125" s="65">
        <v>7.0</v>
      </c>
      <c r="C125" s="66" t="s">
        <v>37</v>
      </c>
      <c r="D125" s="67" t="s">
        <v>125</v>
      </c>
      <c r="E125" s="65">
        <v>0.0</v>
      </c>
      <c r="F125" s="65">
        <v>0.0</v>
      </c>
      <c r="G125" s="67" t="s">
        <v>131</v>
      </c>
      <c r="H125" s="68"/>
      <c r="I125" s="68"/>
    </row>
    <row r="126" ht="14.25" customHeight="1">
      <c r="A126" s="64">
        <v>46045.0</v>
      </c>
      <c r="B126" s="65">
        <v>7.0</v>
      </c>
      <c r="C126" s="66" t="s">
        <v>19</v>
      </c>
      <c r="D126" s="67" t="s">
        <v>125</v>
      </c>
      <c r="E126" s="65">
        <v>2.0</v>
      </c>
      <c r="F126" s="65">
        <v>0.0</v>
      </c>
      <c r="G126" s="67" t="s">
        <v>131</v>
      </c>
      <c r="H126" s="68"/>
      <c r="I126" s="68"/>
    </row>
    <row r="127" ht="14.25" customHeight="1">
      <c r="A127" s="64">
        <v>46045.0</v>
      </c>
      <c r="B127" s="65">
        <v>7.0</v>
      </c>
      <c r="C127" s="66" t="s">
        <v>25</v>
      </c>
      <c r="D127" s="67" t="s">
        <v>125</v>
      </c>
      <c r="E127" s="65">
        <v>0.0</v>
      </c>
      <c r="F127" s="65">
        <v>0.0</v>
      </c>
      <c r="G127" s="67" t="s">
        <v>131</v>
      </c>
      <c r="H127" s="68"/>
      <c r="I127" s="68"/>
    </row>
    <row r="128" ht="14.25" customHeight="1">
      <c r="A128" s="64">
        <v>46045.0</v>
      </c>
      <c r="B128" s="65">
        <v>7.0</v>
      </c>
      <c r="C128" s="66" t="s">
        <v>46</v>
      </c>
      <c r="D128" s="67" t="s">
        <v>130</v>
      </c>
      <c r="E128" s="65">
        <v>0.0</v>
      </c>
      <c r="F128" s="65">
        <v>2.0</v>
      </c>
      <c r="G128" s="67" t="s">
        <v>126</v>
      </c>
      <c r="H128" s="68"/>
      <c r="I128" s="65">
        <v>3.0</v>
      </c>
    </row>
    <row r="129" ht="14.25" customHeight="1">
      <c r="A129" s="64">
        <v>46045.0</v>
      </c>
      <c r="B129" s="65">
        <v>7.0</v>
      </c>
      <c r="C129" s="66" t="s">
        <v>50</v>
      </c>
      <c r="D129" s="67" t="s">
        <v>130</v>
      </c>
      <c r="E129" s="65">
        <v>0.0</v>
      </c>
      <c r="F129" s="65">
        <v>1.0</v>
      </c>
      <c r="G129" s="67" t="s">
        <v>126</v>
      </c>
      <c r="H129" s="67" t="s">
        <v>128</v>
      </c>
      <c r="I129" s="68"/>
    </row>
    <row r="130" ht="14.25" customHeight="1">
      <c r="A130" s="64">
        <v>46045.0</v>
      </c>
      <c r="B130" s="65">
        <v>7.0</v>
      </c>
      <c r="C130" s="66" t="s">
        <v>26</v>
      </c>
      <c r="D130" s="67" t="s">
        <v>130</v>
      </c>
      <c r="E130" s="65">
        <v>0.0</v>
      </c>
      <c r="F130" s="65">
        <v>0.0</v>
      </c>
      <c r="G130" s="67" t="s">
        <v>126</v>
      </c>
      <c r="H130" s="68"/>
      <c r="I130" s="68"/>
    </row>
    <row r="131" ht="14.25" customHeight="1">
      <c r="A131" s="64">
        <v>46045.0</v>
      </c>
      <c r="B131" s="65">
        <v>7.0</v>
      </c>
      <c r="C131" s="66" t="s">
        <v>27</v>
      </c>
      <c r="D131" s="67" t="s">
        <v>130</v>
      </c>
      <c r="E131" s="65">
        <v>1.0</v>
      </c>
      <c r="F131" s="65">
        <v>0.0</v>
      </c>
      <c r="G131" s="67" t="s">
        <v>126</v>
      </c>
      <c r="H131" s="68"/>
      <c r="I131" s="68"/>
    </row>
    <row r="132" ht="14.25" customHeight="1">
      <c r="A132" s="64">
        <v>46045.0</v>
      </c>
      <c r="B132" s="65">
        <v>7.0</v>
      </c>
      <c r="C132" s="66" t="s">
        <v>17</v>
      </c>
      <c r="D132" s="67" t="s">
        <v>130</v>
      </c>
      <c r="E132" s="65">
        <v>2.0</v>
      </c>
      <c r="F132" s="65">
        <v>0.0</v>
      </c>
      <c r="G132" s="67" t="s">
        <v>126</v>
      </c>
      <c r="H132" s="68"/>
      <c r="I132" s="68"/>
    </row>
    <row r="133" ht="14.25" customHeight="1">
      <c r="A133" s="64">
        <v>46045.0</v>
      </c>
      <c r="B133" s="65">
        <v>7.0</v>
      </c>
      <c r="C133" s="66" t="s">
        <v>18</v>
      </c>
      <c r="D133" s="67" t="s">
        <v>130</v>
      </c>
      <c r="E133" s="65">
        <v>0.0</v>
      </c>
      <c r="F133" s="65">
        <v>3.0</v>
      </c>
      <c r="G133" s="67" t="s">
        <v>126</v>
      </c>
      <c r="H133" s="68"/>
      <c r="I133" s="68"/>
    </row>
    <row r="134" ht="14.25" customHeight="1">
      <c r="A134" s="64">
        <v>46045.0</v>
      </c>
      <c r="B134" s="65">
        <v>7.0</v>
      </c>
      <c r="C134" s="66" t="s">
        <v>29</v>
      </c>
      <c r="D134" s="67" t="s">
        <v>130</v>
      </c>
      <c r="E134" s="65">
        <v>0.0</v>
      </c>
      <c r="F134" s="65">
        <v>0.0</v>
      </c>
      <c r="G134" s="67" t="s">
        <v>126</v>
      </c>
      <c r="H134" s="68"/>
      <c r="I134" s="68"/>
    </row>
    <row r="135" ht="14.25" customHeight="1">
      <c r="A135" s="64">
        <v>46045.0</v>
      </c>
      <c r="B135" s="65">
        <v>7.0</v>
      </c>
      <c r="C135" s="66" t="s">
        <v>31</v>
      </c>
      <c r="D135" s="67" t="s">
        <v>130</v>
      </c>
      <c r="E135" s="65">
        <v>2.0</v>
      </c>
      <c r="F135" s="65">
        <v>0.0</v>
      </c>
      <c r="G135" s="67" t="s">
        <v>126</v>
      </c>
      <c r="H135" s="68"/>
      <c r="I135" s="68"/>
    </row>
    <row r="136" ht="14.25" customHeight="1">
      <c r="A136" s="64">
        <v>46045.0</v>
      </c>
      <c r="B136" s="65">
        <v>7.0</v>
      </c>
      <c r="C136" s="66" t="s">
        <v>28</v>
      </c>
      <c r="D136" s="67" t="s">
        <v>130</v>
      </c>
      <c r="E136" s="65">
        <v>1.0</v>
      </c>
      <c r="F136" s="65">
        <v>0.0</v>
      </c>
      <c r="G136" s="67" t="s">
        <v>126</v>
      </c>
      <c r="H136" s="68"/>
      <c r="I136" s="68"/>
    </row>
    <row r="137" ht="14.25" customHeight="1">
      <c r="A137" s="69">
        <v>46049.0</v>
      </c>
      <c r="B137" s="70">
        <v>8.0</v>
      </c>
      <c r="C137" s="71" t="s">
        <v>47</v>
      </c>
      <c r="D137" s="72" t="s">
        <v>125</v>
      </c>
      <c r="E137" s="70">
        <v>0.0</v>
      </c>
      <c r="F137" s="70">
        <v>0.0</v>
      </c>
      <c r="G137" s="72" t="s">
        <v>132</v>
      </c>
      <c r="H137" s="73"/>
      <c r="I137" s="65">
        <v>4.0</v>
      </c>
    </row>
    <row r="138" ht="14.25" customHeight="1">
      <c r="A138" s="69">
        <v>46049.0</v>
      </c>
      <c r="B138" s="70">
        <v>8.0</v>
      </c>
      <c r="C138" s="71" t="s">
        <v>31</v>
      </c>
      <c r="D138" s="72" t="s">
        <v>125</v>
      </c>
      <c r="E138" s="70">
        <v>0.0</v>
      </c>
      <c r="F138" s="70">
        <v>0.0</v>
      </c>
      <c r="G138" s="72" t="s">
        <v>132</v>
      </c>
      <c r="H138" s="73"/>
      <c r="I138" s="68"/>
    </row>
    <row r="139" ht="14.25" customHeight="1">
      <c r="A139" s="69">
        <v>46049.0</v>
      </c>
      <c r="B139" s="70">
        <v>8.0</v>
      </c>
      <c r="C139" s="71" t="s">
        <v>26</v>
      </c>
      <c r="D139" s="72" t="s">
        <v>125</v>
      </c>
      <c r="E139" s="70">
        <v>0.0</v>
      </c>
      <c r="F139" s="70">
        <v>1.0</v>
      </c>
      <c r="G139" s="72" t="s">
        <v>132</v>
      </c>
      <c r="H139" s="73"/>
      <c r="I139" s="68"/>
    </row>
    <row r="140" ht="14.25" customHeight="1">
      <c r="A140" s="69">
        <v>46049.0</v>
      </c>
      <c r="B140" s="70">
        <v>8.0</v>
      </c>
      <c r="C140" s="71" t="s">
        <v>48</v>
      </c>
      <c r="D140" s="72" t="s">
        <v>125</v>
      </c>
      <c r="E140" s="70">
        <v>0.0</v>
      </c>
      <c r="F140" s="70">
        <v>0.0</v>
      </c>
      <c r="G140" s="72" t="s">
        <v>132</v>
      </c>
      <c r="H140" s="73"/>
      <c r="I140" s="68"/>
    </row>
    <row r="141" ht="14.25" customHeight="1">
      <c r="A141" s="69">
        <v>46049.0</v>
      </c>
      <c r="B141" s="70">
        <v>8.0</v>
      </c>
      <c r="C141" s="71" t="s">
        <v>54</v>
      </c>
      <c r="D141" s="72" t="s">
        <v>125</v>
      </c>
      <c r="E141" s="70">
        <v>0.0</v>
      </c>
      <c r="F141" s="70">
        <v>0.0</v>
      </c>
      <c r="G141" s="72" t="s">
        <v>132</v>
      </c>
      <c r="H141" s="73"/>
      <c r="I141" s="68"/>
    </row>
    <row r="142" ht="14.25" customHeight="1">
      <c r="A142" s="69">
        <v>46049.0</v>
      </c>
      <c r="B142" s="70">
        <v>8.0</v>
      </c>
      <c r="C142" s="71" t="s">
        <v>136</v>
      </c>
      <c r="D142" s="72" t="s">
        <v>125</v>
      </c>
      <c r="E142" s="70">
        <v>0.0</v>
      </c>
      <c r="F142" s="70">
        <v>0.0</v>
      </c>
      <c r="G142" s="72" t="s">
        <v>132</v>
      </c>
      <c r="H142" s="73"/>
      <c r="I142" s="68"/>
    </row>
    <row r="143" ht="14.25" customHeight="1">
      <c r="A143" s="69">
        <v>46049.0</v>
      </c>
      <c r="B143" s="70">
        <v>8.0</v>
      </c>
      <c r="C143" s="71" t="s">
        <v>137</v>
      </c>
      <c r="D143" s="72" t="s">
        <v>125</v>
      </c>
      <c r="E143" s="70">
        <v>0.0</v>
      </c>
      <c r="F143" s="70">
        <v>0.0</v>
      </c>
      <c r="G143" s="72" t="s">
        <v>132</v>
      </c>
      <c r="H143" s="73"/>
      <c r="I143" s="68"/>
    </row>
    <row r="144" ht="14.25" customHeight="1">
      <c r="A144" s="69">
        <v>46049.0</v>
      </c>
      <c r="B144" s="70">
        <v>8.0</v>
      </c>
      <c r="C144" s="71" t="s">
        <v>27</v>
      </c>
      <c r="D144" s="72" t="s">
        <v>125</v>
      </c>
      <c r="E144" s="70">
        <v>0.0</v>
      </c>
      <c r="F144" s="70">
        <v>1.0</v>
      </c>
      <c r="G144" s="72" t="s">
        <v>132</v>
      </c>
      <c r="H144" s="73"/>
      <c r="I144" s="68"/>
    </row>
    <row r="145" ht="14.25" customHeight="1">
      <c r="A145" s="69">
        <v>46049.0</v>
      </c>
      <c r="B145" s="70">
        <v>8.0</v>
      </c>
      <c r="C145" s="71" t="s">
        <v>21</v>
      </c>
      <c r="D145" s="72" t="s">
        <v>125</v>
      </c>
      <c r="E145" s="70">
        <v>4.0</v>
      </c>
      <c r="F145" s="70">
        <v>0.0</v>
      </c>
      <c r="G145" s="72" t="s">
        <v>132</v>
      </c>
      <c r="H145" s="72" t="s">
        <v>128</v>
      </c>
      <c r="I145" s="68"/>
    </row>
    <row r="146" ht="14.25" customHeight="1">
      <c r="A146" s="69">
        <v>46049.0</v>
      </c>
      <c r="B146" s="70">
        <v>8.0</v>
      </c>
      <c r="C146" s="71" t="s">
        <v>28</v>
      </c>
      <c r="D146" s="72" t="s">
        <v>125</v>
      </c>
      <c r="E146" s="70">
        <v>0.0</v>
      </c>
      <c r="F146" s="70">
        <v>0.0</v>
      </c>
      <c r="G146" s="72" t="s">
        <v>132</v>
      </c>
      <c r="H146" s="73"/>
      <c r="I146" s="68"/>
    </row>
    <row r="147" ht="14.25" customHeight="1">
      <c r="A147" s="69">
        <v>46049.0</v>
      </c>
      <c r="B147" s="70">
        <v>8.0</v>
      </c>
      <c r="C147" s="71" t="s">
        <v>53</v>
      </c>
      <c r="D147" s="72" t="s">
        <v>130</v>
      </c>
      <c r="E147" s="70">
        <v>0.0</v>
      </c>
      <c r="F147" s="70">
        <v>0.0</v>
      </c>
      <c r="G147" s="72" t="s">
        <v>132</v>
      </c>
      <c r="H147" s="73"/>
      <c r="I147" s="65">
        <v>4.0</v>
      </c>
    </row>
    <row r="148" ht="14.25" customHeight="1">
      <c r="A148" s="69">
        <v>46049.0</v>
      </c>
      <c r="B148" s="70">
        <v>8.0</v>
      </c>
      <c r="C148" s="71" t="s">
        <v>50</v>
      </c>
      <c r="D148" s="72" t="s">
        <v>130</v>
      </c>
      <c r="E148" s="70">
        <v>0.0</v>
      </c>
      <c r="F148" s="70">
        <v>0.0</v>
      </c>
      <c r="G148" s="72" t="s">
        <v>132</v>
      </c>
      <c r="H148" s="73"/>
      <c r="I148" s="68"/>
    </row>
    <row r="149" ht="14.25" customHeight="1">
      <c r="A149" s="69">
        <v>46049.0</v>
      </c>
      <c r="B149" s="70">
        <v>8.0</v>
      </c>
      <c r="C149" s="71" t="s">
        <v>37</v>
      </c>
      <c r="D149" s="72" t="s">
        <v>130</v>
      </c>
      <c r="E149" s="70">
        <v>0.0</v>
      </c>
      <c r="F149" s="70">
        <v>0.0</v>
      </c>
      <c r="G149" s="72" t="s">
        <v>132</v>
      </c>
      <c r="H149" s="73"/>
      <c r="I149" s="68"/>
    </row>
    <row r="150" ht="14.25" customHeight="1">
      <c r="A150" s="69">
        <v>46049.0</v>
      </c>
      <c r="B150" s="70">
        <v>8.0</v>
      </c>
      <c r="C150" s="71" t="s">
        <v>23</v>
      </c>
      <c r="D150" s="72" t="s">
        <v>130</v>
      </c>
      <c r="E150" s="70">
        <v>0.0</v>
      </c>
      <c r="F150" s="70">
        <v>0.0</v>
      </c>
      <c r="G150" s="72" t="s">
        <v>132</v>
      </c>
      <c r="H150" s="73"/>
      <c r="I150" s="68"/>
    </row>
    <row r="151" ht="14.25" customHeight="1">
      <c r="A151" s="69">
        <v>46049.0</v>
      </c>
      <c r="B151" s="70">
        <v>8.0</v>
      </c>
      <c r="C151" s="71" t="s">
        <v>36</v>
      </c>
      <c r="D151" s="72" t="s">
        <v>130</v>
      </c>
      <c r="E151" s="70">
        <v>0.0</v>
      </c>
      <c r="F151" s="70">
        <v>0.0</v>
      </c>
      <c r="G151" s="72" t="s">
        <v>132</v>
      </c>
      <c r="H151" s="73"/>
      <c r="I151" s="68"/>
    </row>
    <row r="152" ht="14.25" customHeight="1">
      <c r="A152" s="69">
        <v>46049.0</v>
      </c>
      <c r="B152" s="70">
        <v>8.0</v>
      </c>
      <c r="C152" s="71" t="s">
        <v>17</v>
      </c>
      <c r="D152" s="72" t="s">
        <v>130</v>
      </c>
      <c r="E152" s="70">
        <v>0.0</v>
      </c>
      <c r="F152" s="70">
        <v>0.0</v>
      </c>
      <c r="G152" s="72" t="s">
        <v>132</v>
      </c>
      <c r="H152" s="73"/>
      <c r="I152" s="68"/>
    </row>
    <row r="153" ht="14.25" customHeight="1">
      <c r="A153" s="69">
        <v>46049.0</v>
      </c>
      <c r="B153" s="70">
        <v>8.0</v>
      </c>
      <c r="C153" s="71" t="s">
        <v>22</v>
      </c>
      <c r="D153" s="72" t="s">
        <v>130</v>
      </c>
      <c r="E153" s="70">
        <v>1.0</v>
      </c>
      <c r="F153" s="70">
        <v>2.0</v>
      </c>
      <c r="G153" s="72" t="s">
        <v>132</v>
      </c>
      <c r="H153" s="73"/>
      <c r="I153" s="68"/>
    </row>
    <row r="154" ht="14.25" customHeight="1">
      <c r="A154" s="69">
        <v>46049.0</v>
      </c>
      <c r="B154" s="70">
        <v>8.0</v>
      </c>
      <c r="C154" s="71" t="s">
        <v>49</v>
      </c>
      <c r="D154" s="72" t="s">
        <v>130</v>
      </c>
      <c r="E154" s="70">
        <v>0.0</v>
      </c>
      <c r="F154" s="70">
        <v>0.0</v>
      </c>
      <c r="G154" s="72" t="s">
        <v>132</v>
      </c>
      <c r="H154" s="73"/>
      <c r="I154" s="68"/>
    </row>
    <row r="155" ht="14.25" customHeight="1">
      <c r="A155" s="69">
        <v>46049.0</v>
      </c>
      <c r="B155" s="70">
        <v>8.0</v>
      </c>
      <c r="C155" s="71" t="s">
        <v>19</v>
      </c>
      <c r="D155" s="72" t="s">
        <v>130</v>
      </c>
      <c r="E155" s="70">
        <v>3.0</v>
      </c>
      <c r="F155" s="70">
        <v>1.0</v>
      </c>
      <c r="G155" s="72" t="s">
        <v>132</v>
      </c>
      <c r="H155" s="72" t="s">
        <v>128</v>
      </c>
      <c r="I155" s="68"/>
    </row>
    <row r="156" ht="14.25" customHeight="1">
      <c r="A156" s="69">
        <v>46049.0</v>
      </c>
      <c r="B156" s="70">
        <v>8.0</v>
      </c>
      <c r="C156" s="71" t="s">
        <v>25</v>
      </c>
      <c r="D156" s="72" t="s">
        <v>130</v>
      </c>
      <c r="E156" s="70">
        <v>0.0</v>
      </c>
      <c r="F156" s="70">
        <v>0.0</v>
      </c>
      <c r="G156" s="72" t="s">
        <v>132</v>
      </c>
      <c r="H156" s="73"/>
      <c r="I156" s="68"/>
    </row>
    <row r="157" ht="14.25" customHeight="1">
      <c r="A157" s="74">
        <v>46052.0</v>
      </c>
      <c r="B157" s="51">
        <v>9.0</v>
      </c>
      <c r="C157" s="75" t="s">
        <v>18</v>
      </c>
      <c r="D157" s="53" t="s">
        <v>125</v>
      </c>
      <c r="E157" s="51">
        <v>3.0</v>
      </c>
      <c r="F157" s="51">
        <v>1.0</v>
      </c>
      <c r="G157" s="53" t="s">
        <v>126</v>
      </c>
      <c r="H157" s="58"/>
      <c r="I157" s="58"/>
    </row>
    <row r="158" ht="14.25" customHeight="1">
      <c r="A158" s="74">
        <v>46052.0</v>
      </c>
      <c r="B158" s="51">
        <v>9.0</v>
      </c>
      <c r="C158" s="75" t="s">
        <v>17</v>
      </c>
      <c r="D158" s="53" t="s">
        <v>125</v>
      </c>
      <c r="E158" s="51">
        <v>2.0</v>
      </c>
      <c r="F158" s="51">
        <v>2.0</v>
      </c>
      <c r="G158" s="53" t="s">
        <v>126</v>
      </c>
      <c r="H158" s="58"/>
      <c r="I158" s="58"/>
    </row>
    <row r="159" ht="14.25" customHeight="1">
      <c r="A159" s="74">
        <v>46052.0</v>
      </c>
      <c r="B159" s="51">
        <v>9.0</v>
      </c>
      <c r="C159" s="75" t="s">
        <v>27</v>
      </c>
      <c r="D159" s="53" t="s">
        <v>125</v>
      </c>
      <c r="E159" s="51">
        <v>2.0</v>
      </c>
      <c r="F159" s="51">
        <v>0.0</v>
      </c>
      <c r="G159" s="53" t="s">
        <v>126</v>
      </c>
      <c r="H159" s="58"/>
      <c r="I159" s="58"/>
    </row>
    <row r="160" ht="14.25" customHeight="1">
      <c r="A160" s="74">
        <v>46052.0</v>
      </c>
      <c r="B160" s="51">
        <v>9.0</v>
      </c>
      <c r="C160" s="75" t="s">
        <v>16</v>
      </c>
      <c r="D160" s="53" t="s">
        <v>125</v>
      </c>
      <c r="E160" s="51">
        <v>2.0</v>
      </c>
      <c r="F160" s="51">
        <v>3.0</v>
      </c>
      <c r="G160" s="53" t="s">
        <v>126</v>
      </c>
      <c r="H160" s="53" t="s">
        <v>128</v>
      </c>
      <c r="I160" s="58"/>
    </row>
    <row r="161" ht="14.25" customHeight="1">
      <c r="A161" s="74">
        <v>46052.0</v>
      </c>
      <c r="B161" s="51">
        <v>9.0</v>
      </c>
      <c r="C161" s="75" t="s">
        <v>46</v>
      </c>
      <c r="D161" s="53" t="s">
        <v>125</v>
      </c>
      <c r="E161" s="51">
        <v>0.0</v>
      </c>
      <c r="F161" s="51">
        <v>0.0</v>
      </c>
      <c r="G161" s="53" t="s">
        <v>126</v>
      </c>
      <c r="H161" s="58"/>
      <c r="I161" s="51">
        <v>4.0</v>
      </c>
    </row>
    <row r="162" ht="14.25" customHeight="1">
      <c r="A162" s="74">
        <v>46052.0</v>
      </c>
      <c r="B162" s="51">
        <v>9.0</v>
      </c>
      <c r="C162" s="75" t="s">
        <v>54</v>
      </c>
      <c r="D162" s="53" t="s">
        <v>125</v>
      </c>
      <c r="E162" s="51">
        <v>0.0</v>
      </c>
      <c r="F162" s="51">
        <v>1.0</v>
      </c>
      <c r="G162" s="53" t="s">
        <v>126</v>
      </c>
      <c r="H162" s="58"/>
      <c r="I162" s="58"/>
    </row>
    <row r="163" ht="14.25" customHeight="1">
      <c r="A163" s="74">
        <v>46052.0</v>
      </c>
      <c r="B163" s="51">
        <v>9.0</v>
      </c>
      <c r="C163" s="75" t="s">
        <v>36</v>
      </c>
      <c r="D163" s="53" t="s">
        <v>125</v>
      </c>
      <c r="E163" s="51">
        <v>0.0</v>
      </c>
      <c r="F163" s="51">
        <v>0.0</v>
      </c>
      <c r="G163" s="53" t="s">
        <v>126</v>
      </c>
      <c r="H163" s="58"/>
      <c r="I163" s="58"/>
    </row>
    <row r="164" ht="14.25" customHeight="1">
      <c r="A164" s="74">
        <v>46052.0</v>
      </c>
      <c r="B164" s="51">
        <v>9.0</v>
      </c>
      <c r="C164" s="75" t="s">
        <v>26</v>
      </c>
      <c r="D164" s="53" t="s">
        <v>125</v>
      </c>
      <c r="E164" s="51">
        <v>0.0</v>
      </c>
      <c r="F164" s="51">
        <v>0.0</v>
      </c>
      <c r="G164" s="53" t="s">
        <v>126</v>
      </c>
      <c r="H164" s="58"/>
      <c r="I164" s="58"/>
    </row>
    <row r="165" ht="14.25" customHeight="1">
      <c r="A165" s="74">
        <v>46052.0</v>
      </c>
      <c r="B165" s="51">
        <v>9.0</v>
      </c>
      <c r="C165" s="75" t="s">
        <v>37</v>
      </c>
      <c r="D165" s="53" t="s">
        <v>125</v>
      </c>
      <c r="E165" s="51">
        <v>0.0</v>
      </c>
      <c r="F165" s="51">
        <v>0.0</v>
      </c>
      <c r="G165" s="53" t="s">
        <v>126</v>
      </c>
      <c r="H165" s="58"/>
      <c r="I165" s="58"/>
    </row>
    <row r="166" ht="14.25" customHeight="1">
      <c r="A166" s="74">
        <v>46052.0</v>
      </c>
      <c r="B166" s="51">
        <v>9.0</v>
      </c>
      <c r="C166" s="75" t="s">
        <v>23</v>
      </c>
      <c r="D166" s="53" t="s">
        <v>130</v>
      </c>
      <c r="E166" s="51">
        <v>1.0</v>
      </c>
      <c r="F166" s="51">
        <v>2.0</v>
      </c>
      <c r="G166" s="53" t="s">
        <v>131</v>
      </c>
      <c r="H166" s="58"/>
      <c r="I166" s="58"/>
    </row>
    <row r="167" ht="14.25" customHeight="1">
      <c r="A167" s="74">
        <v>46052.0</v>
      </c>
      <c r="B167" s="51">
        <v>9.0</v>
      </c>
      <c r="C167" s="75" t="s">
        <v>22</v>
      </c>
      <c r="D167" s="53" t="s">
        <v>130</v>
      </c>
      <c r="E167" s="51">
        <v>3.0</v>
      </c>
      <c r="F167" s="51">
        <v>1.0</v>
      </c>
      <c r="G167" s="53" t="s">
        <v>131</v>
      </c>
      <c r="H167" s="58"/>
      <c r="I167" s="58"/>
    </row>
    <row r="168" ht="14.25" customHeight="1">
      <c r="A168" s="74">
        <v>46052.0</v>
      </c>
      <c r="B168" s="51">
        <v>9.0</v>
      </c>
      <c r="C168" s="75" t="s">
        <v>47</v>
      </c>
      <c r="D168" s="53" t="s">
        <v>130</v>
      </c>
      <c r="E168" s="51">
        <v>0.0</v>
      </c>
      <c r="F168" s="51">
        <v>0.0</v>
      </c>
      <c r="G168" s="53" t="s">
        <v>131</v>
      </c>
      <c r="H168" s="58"/>
      <c r="I168" s="51">
        <v>9.0</v>
      </c>
    </row>
    <row r="169" ht="14.25" customHeight="1">
      <c r="A169" s="74">
        <v>46052.0</v>
      </c>
      <c r="B169" s="51">
        <v>9.0</v>
      </c>
      <c r="C169" s="75" t="s">
        <v>127</v>
      </c>
      <c r="D169" s="53" t="s">
        <v>130</v>
      </c>
      <c r="E169" s="51">
        <v>0.0</v>
      </c>
      <c r="F169" s="51">
        <v>0.0</v>
      </c>
      <c r="G169" s="53" t="s">
        <v>131</v>
      </c>
      <c r="H169" s="58"/>
      <c r="I169" s="58"/>
    </row>
    <row r="170" ht="14.25" customHeight="1">
      <c r="A170" s="74">
        <v>46052.0</v>
      </c>
      <c r="B170" s="51">
        <v>9.0</v>
      </c>
      <c r="C170" s="75" t="s">
        <v>50</v>
      </c>
      <c r="D170" s="53" t="s">
        <v>130</v>
      </c>
      <c r="E170" s="51">
        <v>0.0</v>
      </c>
      <c r="F170" s="51">
        <v>0.0</v>
      </c>
      <c r="G170" s="53" t="s">
        <v>131</v>
      </c>
      <c r="H170" s="58"/>
      <c r="I170" s="58"/>
    </row>
    <row r="171" ht="14.25" customHeight="1">
      <c r="A171" s="74">
        <v>46052.0</v>
      </c>
      <c r="B171" s="51">
        <v>9.0</v>
      </c>
      <c r="C171" s="75" t="s">
        <v>49</v>
      </c>
      <c r="D171" s="53" t="s">
        <v>130</v>
      </c>
      <c r="E171" s="51">
        <v>0.0</v>
      </c>
      <c r="F171" s="51">
        <v>0.0</v>
      </c>
      <c r="G171" s="53" t="s">
        <v>131</v>
      </c>
      <c r="H171" s="58"/>
      <c r="I171" s="58"/>
    </row>
    <row r="172" ht="14.25" customHeight="1">
      <c r="A172" s="74">
        <v>46052.0</v>
      </c>
      <c r="B172" s="51">
        <v>9.0</v>
      </c>
      <c r="C172" s="75" t="s">
        <v>31</v>
      </c>
      <c r="D172" s="53" t="s">
        <v>130</v>
      </c>
      <c r="E172" s="51">
        <v>0.0</v>
      </c>
      <c r="F172" s="51">
        <v>0.0</v>
      </c>
      <c r="G172" s="53" t="s">
        <v>131</v>
      </c>
      <c r="H172" s="58"/>
      <c r="I172" s="58"/>
    </row>
    <row r="173" ht="14.25" customHeight="1">
      <c r="A173" s="74">
        <v>46052.0</v>
      </c>
      <c r="B173" s="51">
        <v>9.0</v>
      </c>
      <c r="C173" s="75" t="s">
        <v>19</v>
      </c>
      <c r="D173" s="53" t="s">
        <v>130</v>
      </c>
      <c r="E173" s="51">
        <v>0.0</v>
      </c>
      <c r="F173" s="51">
        <v>0.0</v>
      </c>
      <c r="G173" s="53" t="s">
        <v>131</v>
      </c>
      <c r="H173" s="58"/>
      <c r="I173" s="58"/>
    </row>
    <row r="174" ht="14.25" customHeight="1">
      <c r="A174" s="74">
        <v>46052.0</v>
      </c>
      <c r="B174" s="51">
        <v>9.0</v>
      </c>
      <c r="C174" s="75" t="s">
        <v>28</v>
      </c>
      <c r="D174" s="53" t="s">
        <v>130</v>
      </c>
      <c r="E174" s="51">
        <v>0.0</v>
      </c>
      <c r="F174" s="51">
        <v>0.0</v>
      </c>
      <c r="G174" s="53" t="s">
        <v>131</v>
      </c>
      <c r="H174" s="53" t="s">
        <v>128</v>
      </c>
      <c r="I174" s="58"/>
    </row>
    <row r="175" ht="14.25" customHeight="1">
      <c r="A175" s="56">
        <v>46056.0</v>
      </c>
      <c r="B175" s="51">
        <v>10.0</v>
      </c>
      <c r="C175" s="75" t="s">
        <v>46</v>
      </c>
      <c r="D175" s="53" t="s">
        <v>125</v>
      </c>
      <c r="E175" s="51">
        <v>0.0</v>
      </c>
      <c r="F175" s="51">
        <v>0.0</v>
      </c>
      <c r="G175" s="53" t="s">
        <v>131</v>
      </c>
      <c r="H175" s="58"/>
      <c r="I175" s="51">
        <v>5.0</v>
      </c>
    </row>
    <row r="176" ht="14.25" customHeight="1">
      <c r="A176" s="56">
        <v>46056.0</v>
      </c>
      <c r="B176" s="51">
        <v>10.0</v>
      </c>
      <c r="C176" s="75" t="s">
        <v>19</v>
      </c>
      <c r="D176" s="53" t="s">
        <v>125</v>
      </c>
      <c r="E176" s="51">
        <v>1.0</v>
      </c>
      <c r="F176" s="51">
        <v>0.0</v>
      </c>
      <c r="G176" s="53" t="s">
        <v>131</v>
      </c>
      <c r="H176" s="58"/>
      <c r="I176" s="58"/>
    </row>
    <row r="177" ht="14.25" customHeight="1">
      <c r="A177" s="56">
        <v>46056.0</v>
      </c>
      <c r="B177" s="51">
        <v>10.0</v>
      </c>
      <c r="C177" s="75" t="s">
        <v>18</v>
      </c>
      <c r="D177" s="53" t="s">
        <v>125</v>
      </c>
      <c r="E177" s="51">
        <v>0.0</v>
      </c>
      <c r="F177" s="51">
        <v>1.0</v>
      </c>
      <c r="G177" s="53" t="s">
        <v>131</v>
      </c>
      <c r="H177" s="58"/>
      <c r="I177" s="58"/>
    </row>
    <row r="178" ht="14.25" customHeight="1">
      <c r="A178" s="56">
        <v>46056.0</v>
      </c>
      <c r="B178" s="51">
        <v>10.0</v>
      </c>
      <c r="C178" s="75" t="s">
        <v>36</v>
      </c>
      <c r="D178" s="53" t="s">
        <v>125</v>
      </c>
      <c r="E178" s="51">
        <v>0.0</v>
      </c>
      <c r="F178" s="51">
        <v>0.0</v>
      </c>
      <c r="G178" s="53" t="s">
        <v>131</v>
      </c>
      <c r="H178" s="58"/>
      <c r="I178" s="58"/>
    </row>
    <row r="179" ht="14.25" customHeight="1">
      <c r="A179" s="56">
        <v>46056.0</v>
      </c>
      <c r="B179" s="51">
        <v>10.0</v>
      </c>
      <c r="C179" s="75" t="s">
        <v>38</v>
      </c>
      <c r="D179" s="53" t="s">
        <v>125</v>
      </c>
      <c r="E179" s="51">
        <v>0.0</v>
      </c>
      <c r="F179" s="51">
        <v>0.0</v>
      </c>
      <c r="G179" s="53" t="s">
        <v>131</v>
      </c>
      <c r="H179" s="58"/>
      <c r="I179" s="58"/>
    </row>
    <row r="180" ht="14.25" customHeight="1">
      <c r="A180" s="56">
        <v>46056.0</v>
      </c>
      <c r="B180" s="51">
        <v>10.0</v>
      </c>
      <c r="C180" s="75" t="s">
        <v>29</v>
      </c>
      <c r="D180" s="53" t="s">
        <v>125</v>
      </c>
      <c r="E180" s="51">
        <v>0.0</v>
      </c>
      <c r="F180" s="51">
        <v>0.0</v>
      </c>
      <c r="G180" s="53" t="s">
        <v>131</v>
      </c>
      <c r="H180" s="53" t="s">
        <v>128</v>
      </c>
      <c r="I180" s="58"/>
    </row>
    <row r="181" ht="14.25" customHeight="1">
      <c r="A181" s="56">
        <v>46056.0</v>
      </c>
      <c r="B181" s="51">
        <v>10.0</v>
      </c>
      <c r="C181" s="75" t="s">
        <v>54</v>
      </c>
      <c r="D181" s="53" t="s">
        <v>125</v>
      </c>
      <c r="E181" s="51">
        <v>0.0</v>
      </c>
      <c r="F181" s="51">
        <v>0.0</v>
      </c>
      <c r="G181" s="53" t="s">
        <v>131</v>
      </c>
      <c r="H181" s="58"/>
      <c r="I181" s="58"/>
    </row>
    <row r="182" ht="14.25" customHeight="1">
      <c r="A182" s="56">
        <v>46056.0</v>
      </c>
      <c r="B182" s="51">
        <v>10.0</v>
      </c>
      <c r="C182" s="75" t="s">
        <v>28</v>
      </c>
      <c r="D182" s="53" t="s">
        <v>125</v>
      </c>
      <c r="E182" s="51">
        <v>0.0</v>
      </c>
      <c r="F182" s="51">
        <v>0.0</v>
      </c>
      <c r="G182" s="53" t="s">
        <v>131</v>
      </c>
      <c r="H182" s="58"/>
      <c r="I182" s="58"/>
    </row>
    <row r="183" ht="14.25" customHeight="1">
      <c r="A183" s="56">
        <v>46056.0</v>
      </c>
      <c r="B183" s="51">
        <v>10.0</v>
      </c>
      <c r="C183" s="75" t="s">
        <v>21</v>
      </c>
      <c r="D183" s="53" t="s">
        <v>125</v>
      </c>
      <c r="E183" s="51">
        <v>0.0</v>
      </c>
      <c r="F183" s="51">
        <v>0.0</v>
      </c>
      <c r="G183" s="53" t="s">
        <v>131</v>
      </c>
      <c r="H183" s="58"/>
      <c r="I183" s="58"/>
    </row>
    <row r="184" ht="14.25" customHeight="1">
      <c r="A184" s="56">
        <v>46056.0</v>
      </c>
      <c r="B184" s="51">
        <v>10.0</v>
      </c>
      <c r="C184" s="75" t="s">
        <v>22</v>
      </c>
      <c r="D184" s="53" t="s">
        <v>125</v>
      </c>
      <c r="E184" s="51">
        <v>0.0</v>
      </c>
      <c r="F184" s="51">
        <v>0.0</v>
      </c>
      <c r="G184" s="53" t="s">
        <v>131</v>
      </c>
      <c r="H184" s="58"/>
      <c r="I184" s="58"/>
    </row>
    <row r="185" ht="14.25" customHeight="1">
      <c r="A185" s="56">
        <v>46056.0</v>
      </c>
      <c r="B185" s="51">
        <v>10.0</v>
      </c>
      <c r="C185" s="75" t="s">
        <v>47</v>
      </c>
      <c r="D185" s="53" t="s">
        <v>130</v>
      </c>
      <c r="E185" s="51">
        <v>0.0</v>
      </c>
      <c r="F185" s="51">
        <v>0.0</v>
      </c>
      <c r="G185" s="53" t="s">
        <v>126</v>
      </c>
      <c r="H185" s="58"/>
      <c r="I185" s="51">
        <v>1.0</v>
      </c>
    </row>
    <row r="186" ht="14.25" customHeight="1">
      <c r="A186" s="56">
        <v>46056.0</v>
      </c>
      <c r="B186" s="51">
        <v>10.0</v>
      </c>
      <c r="C186" s="75" t="s">
        <v>20</v>
      </c>
      <c r="D186" s="53" t="s">
        <v>130</v>
      </c>
      <c r="E186" s="51">
        <v>3.0</v>
      </c>
      <c r="F186" s="51">
        <v>0.0</v>
      </c>
      <c r="G186" s="53" t="s">
        <v>126</v>
      </c>
      <c r="H186" s="58"/>
      <c r="I186" s="58"/>
    </row>
    <row r="187" ht="14.25" customHeight="1">
      <c r="A187" s="56">
        <v>46056.0</v>
      </c>
      <c r="B187" s="51">
        <v>10.0</v>
      </c>
      <c r="C187" s="75" t="s">
        <v>17</v>
      </c>
      <c r="D187" s="53" t="s">
        <v>130</v>
      </c>
      <c r="E187" s="51">
        <v>2.0</v>
      </c>
      <c r="F187" s="51">
        <v>0.0</v>
      </c>
      <c r="G187" s="53" t="s">
        <v>126</v>
      </c>
      <c r="H187" s="58"/>
      <c r="I187" s="58"/>
    </row>
    <row r="188" ht="14.25" customHeight="1">
      <c r="A188" s="56">
        <v>46056.0</v>
      </c>
      <c r="B188" s="51">
        <v>10.0</v>
      </c>
      <c r="C188" s="75" t="s">
        <v>25</v>
      </c>
      <c r="D188" s="53" t="s">
        <v>130</v>
      </c>
      <c r="E188" s="51">
        <v>0.0</v>
      </c>
      <c r="F188" s="51">
        <v>1.0</v>
      </c>
      <c r="G188" s="53" t="s">
        <v>126</v>
      </c>
      <c r="H188" s="53" t="s">
        <v>128</v>
      </c>
      <c r="I188" s="58"/>
    </row>
    <row r="189" ht="14.25" customHeight="1">
      <c r="A189" s="56">
        <v>46056.0</v>
      </c>
      <c r="B189" s="51">
        <v>10.0</v>
      </c>
      <c r="C189" s="75" t="s">
        <v>16</v>
      </c>
      <c r="D189" s="53" t="s">
        <v>130</v>
      </c>
      <c r="E189" s="51">
        <v>0.0</v>
      </c>
      <c r="F189" s="51">
        <v>1.0</v>
      </c>
      <c r="G189" s="53" t="s">
        <v>126</v>
      </c>
      <c r="H189" s="58"/>
      <c r="I189" s="58"/>
    </row>
    <row r="190" ht="14.25" customHeight="1">
      <c r="A190" s="56">
        <v>46056.0</v>
      </c>
      <c r="B190" s="51">
        <v>10.0</v>
      </c>
      <c r="C190" s="75" t="s">
        <v>50</v>
      </c>
      <c r="D190" s="53" t="s">
        <v>130</v>
      </c>
      <c r="E190" s="51">
        <v>0.0</v>
      </c>
      <c r="F190" s="51">
        <v>0.0</v>
      </c>
      <c r="G190" s="53" t="s">
        <v>126</v>
      </c>
      <c r="H190" s="58"/>
      <c r="I190" s="58"/>
    </row>
    <row r="191" ht="14.25" customHeight="1">
      <c r="A191" s="56">
        <v>46056.0</v>
      </c>
      <c r="B191" s="51">
        <v>10.0</v>
      </c>
      <c r="C191" s="75" t="s">
        <v>27</v>
      </c>
      <c r="D191" s="53" t="s">
        <v>130</v>
      </c>
      <c r="E191" s="51">
        <v>0.0</v>
      </c>
      <c r="F191" s="51">
        <v>0.0</v>
      </c>
      <c r="G191" s="53" t="s">
        <v>126</v>
      </c>
      <c r="H191" s="58"/>
      <c r="I191" s="58"/>
    </row>
    <row r="192" ht="14.25" customHeight="1">
      <c r="A192" s="56">
        <v>46056.0</v>
      </c>
      <c r="B192" s="51">
        <v>10.0</v>
      </c>
      <c r="C192" s="75" t="s">
        <v>23</v>
      </c>
      <c r="D192" s="53" t="s">
        <v>130</v>
      </c>
      <c r="E192" s="51">
        <v>0.0</v>
      </c>
      <c r="F192" s="51">
        <v>0.0</v>
      </c>
      <c r="G192" s="53" t="s">
        <v>126</v>
      </c>
      <c r="H192" s="58"/>
      <c r="I192" s="58"/>
    </row>
    <row r="193" ht="14.25" customHeight="1">
      <c r="A193" s="56">
        <v>46056.0</v>
      </c>
      <c r="B193" s="51">
        <v>10.0</v>
      </c>
      <c r="C193" s="75" t="s">
        <v>37</v>
      </c>
      <c r="D193" s="53" t="s">
        <v>130</v>
      </c>
      <c r="E193" s="51">
        <v>0.0</v>
      </c>
      <c r="F193" s="51">
        <v>0.0</v>
      </c>
      <c r="G193" s="53" t="s">
        <v>126</v>
      </c>
      <c r="H193" s="58"/>
      <c r="I193" s="58"/>
    </row>
    <row r="194" ht="14.25" customHeight="1">
      <c r="A194" s="56">
        <v>46056.0</v>
      </c>
      <c r="B194" s="51">
        <v>10.0</v>
      </c>
      <c r="C194" s="75" t="s">
        <v>30</v>
      </c>
      <c r="D194" s="53" t="s">
        <v>130</v>
      </c>
      <c r="E194" s="51">
        <v>0.0</v>
      </c>
      <c r="F194" s="51">
        <v>1.0</v>
      </c>
      <c r="G194" s="53" t="s">
        <v>126</v>
      </c>
      <c r="H194" s="58"/>
      <c r="I194" s="58"/>
    </row>
    <row r="195" ht="14.25" customHeight="1">
      <c r="A195" s="76">
        <v>46059.0</v>
      </c>
      <c r="B195" s="65">
        <v>11.0</v>
      </c>
      <c r="C195" s="77" t="s">
        <v>25</v>
      </c>
      <c r="D195" s="78" t="s">
        <v>125</v>
      </c>
      <c r="E195" s="65">
        <v>2.0</v>
      </c>
      <c r="F195" s="65">
        <v>0.0</v>
      </c>
      <c r="G195" s="79" t="s">
        <v>126</v>
      </c>
      <c r="H195" s="79" t="s">
        <v>128</v>
      </c>
      <c r="I195" s="68"/>
    </row>
    <row r="196" ht="14.25" customHeight="1">
      <c r="A196" s="76">
        <v>46059.0</v>
      </c>
      <c r="B196" s="65">
        <v>11.0</v>
      </c>
      <c r="C196" s="66" t="s">
        <v>17</v>
      </c>
      <c r="D196" s="78" t="s">
        <v>125</v>
      </c>
      <c r="E196" s="65">
        <v>1.0</v>
      </c>
      <c r="F196" s="65">
        <v>0.0</v>
      </c>
      <c r="G196" s="79" t="s">
        <v>126</v>
      </c>
      <c r="H196" s="68"/>
      <c r="I196" s="68"/>
    </row>
    <row r="197" ht="14.25" customHeight="1">
      <c r="A197" s="76">
        <v>46059.0</v>
      </c>
      <c r="B197" s="65">
        <v>11.0</v>
      </c>
      <c r="C197" s="77" t="s">
        <v>19</v>
      </c>
      <c r="D197" s="78" t="s">
        <v>125</v>
      </c>
      <c r="E197" s="65">
        <v>1.0</v>
      </c>
      <c r="F197" s="65">
        <v>2.0</v>
      </c>
      <c r="G197" s="79" t="s">
        <v>126</v>
      </c>
      <c r="H197" s="68"/>
      <c r="I197" s="68"/>
    </row>
    <row r="198" ht="14.25" customHeight="1">
      <c r="A198" s="76">
        <v>46059.0</v>
      </c>
      <c r="B198" s="65">
        <v>11.0</v>
      </c>
      <c r="C198" s="77" t="s">
        <v>26</v>
      </c>
      <c r="D198" s="79" t="s">
        <v>125</v>
      </c>
      <c r="E198" s="65">
        <v>0.0</v>
      </c>
      <c r="F198" s="65">
        <v>1.0</v>
      </c>
      <c r="G198" s="79" t="s">
        <v>126</v>
      </c>
      <c r="H198" s="68"/>
      <c r="I198" s="68"/>
    </row>
    <row r="199" ht="14.25" customHeight="1">
      <c r="A199" s="76">
        <v>46059.0</v>
      </c>
      <c r="B199" s="65">
        <v>11.0</v>
      </c>
      <c r="C199" s="77" t="s">
        <v>22</v>
      </c>
      <c r="D199" s="78" t="s">
        <v>125</v>
      </c>
      <c r="E199" s="65">
        <v>0.0</v>
      </c>
      <c r="F199" s="65">
        <v>1.0</v>
      </c>
      <c r="G199" s="79" t="s">
        <v>126</v>
      </c>
      <c r="H199" s="68"/>
      <c r="I199" s="68"/>
    </row>
    <row r="200" ht="14.25" customHeight="1">
      <c r="A200" s="76">
        <v>46059.0</v>
      </c>
      <c r="B200" s="65">
        <v>11.0</v>
      </c>
      <c r="C200" s="77" t="s">
        <v>36</v>
      </c>
      <c r="D200" s="78" t="s">
        <v>125</v>
      </c>
      <c r="E200" s="65">
        <v>0.0</v>
      </c>
      <c r="F200" s="65">
        <v>0.0</v>
      </c>
      <c r="G200" s="79" t="s">
        <v>126</v>
      </c>
      <c r="H200" s="68"/>
      <c r="I200" s="68"/>
    </row>
    <row r="201" ht="14.25" customHeight="1">
      <c r="A201" s="76">
        <v>46059.0</v>
      </c>
      <c r="B201" s="65">
        <v>11.0</v>
      </c>
      <c r="C201" s="77" t="s">
        <v>50</v>
      </c>
      <c r="D201" s="78" t="s">
        <v>125</v>
      </c>
      <c r="E201" s="65">
        <v>0.0</v>
      </c>
      <c r="F201" s="65">
        <v>0.0</v>
      </c>
      <c r="G201" s="79" t="s">
        <v>126</v>
      </c>
      <c r="H201" s="68"/>
      <c r="I201" s="68"/>
    </row>
    <row r="202" ht="14.25" customHeight="1">
      <c r="A202" s="76">
        <v>46059.0</v>
      </c>
      <c r="B202" s="65">
        <v>11.0</v>
      </c>
      <c r="C202" s="77" t="s">
        <v>47</v>
      </c>
      <c r="D202" s="79" t="s">
        <v>130</v>
      </c>
      <c r="E202" s="65">
        <v>0.0</v>
      </c>
      <c r="F202" s="65">
        <v>0.0</v>
      </c>
      <c r="G202" s="79" t="s">
        <v>131</v>
      </c>
      <c r="H202" s="68"/>
      <c r="I202" s="65">
        <v>5.0</v>
      </c>
    </row>
    <row r="203" ht="14.25" customHeight="1">
      <c r="A203" s="76">
        <v>46059.0</v>
      </c>
      <c r="B203" s="65">
        <v>11.0</v>
      </c>
      <c r="C203" s="77" t="s">
        <v>24</v>
      </c>
      <c r="D203" s="78" t="s">
        <v>130</v>
      </c>
      <c r="E203" s="65">
        <v>1.0</v>
      </c>
      <c r="F203" s="65">
        <v>0.0</v>
      </c>
      <c r="G203" s="79" t="s">
        <v>131</v>
      </c>
      <c r="H203" s="79" t="s">
        <v>128</v>
      </c>
      <c r="I203" s="68"/>
    </row>
    <row r="204" ht="14.25" customHeight="1">
      <c r="A204" s="76">
        <v>46059.0</v>
      </c>
      <c r="B204" s="65">
        <v>11.0</v>
      </c>
      <c r="C204" s="77" t="s">
        <v>18</v>
      </c>
      <c r="D204" s="78" t="s">
        <v>130</v>
      </c>
      <c r="E204" s="65">
        <v>0.0</v>
      </c>
      <c r="F204" s="65">
        <v>1.0</v>
      </c>
      <c r="G204" s="79" t="s">
        <v>131</v>
      </c>
      <c r="H204" s="68"/>
      <c r="I204" s="68"/>
    </row>
    <row r="205" ht="14.25" customHeight="1">
      <c r="A205" s="76">
        <v>46059.0</v>
      </c>
      <c r="B205" s="65">
        <v>11.0</v>
      </c>
      <c r="C205" s="77" t="s">
        <v>43</v>
      </c>
      <c r="D205" s="78" t="s">
        <v>130</v>
      </c>
      <c r="E205" s="65">
        <v>1.0</v>
      </c>
      <c r="F205" s="65">
        <v>0.0</v>
      </c>
      <c r="G205" s="79" t="s">
        <v>131</v>
      </c>
      <c r="H205" s="68"/>
      <c r="I205" s="68"/>
    </row>
    <row r="206" ht="14.25" customHeight="1">
      <c r="A206" s="76">
        <v>46059.0</v>
      </c>
      <c r="B206" s="65">
        <v>11.0</v>
      </c>
      <c r="C206" s="77" t="s">
        <v>55</v>
      </c>
      <c r="D206" s="78" t="s">
        <v>130</v>
      </c>
      <c r="E206" s="65">
        <v>0.0</v>
      </c>
      <c r="F206" s="65">
        <v>0.0</v>
      </c>
      <c r="G206" s="79" t="s">
        <v>131</v>
      </c>
      <c r="H206" s="68"/>
      <c r="I206" s="68"/>
    </row>
    <row r="207" ht="14.25" customHeight="1">
      <c r="A207" s="76">
        <v>46059.0</v>
      </c>
      <c r="B207" s="65">
        <v>11.0</v>
      </c>
      <c r="C207" s="77" t="s">
        <v>29</v>
      </c>
      <c r="D207" s="79" t="s">
        <v>130</v>
      </c>
      <c r="E207" s="65">
        <v>0.0</v>
      </c>
      <c r="F207" s="65">
        <v>0.0</v>
      </c>
      <c r="G207" s="79" t="s">
        <v>131</v>
      </c>
      <c r="H207" s="68"/>
      <c r="I207" s="68"/>
    </row>
    <row r="208" ht="14.25" customHeight="1">
      <c r="A208" s="76">
        <v>46059.0</v>
      </c>
      <c r="B208" s="65">
        <v>11.0</v>
      </c>
      <c r="C208" s="77" t="s">
        <v>30</v>
      </c>
      <c r="D208" s="79" t="s">
        <v>130</v>
      </c>
      <c r="E208" s="65">
        <v>0.0</v>
      </c>
      <c r="F208" s="65">
        <v>0.0</v>
      </c>
      <c r="G208" s="79" t="s">
        <v>131</v>
      </c>
      <c r="H208" s="68"/>
      <c r="I208" s="68"/>
    </row>
    <row r="209" ht="14.25" customHeight="1">
      <c r="A209" s="76">
        <v>46059.0</v>
      </c>
      <c r="B209" s="65">
        <v>11.0</v>
      </c>
      <c r="C209" s="77" t="s">
        <v>27</v>
      </c>
      <c r="D209" s="78" t="s">
        <v>130</v>
      </c>
      <c r="E209" s="65">
        <v>0.0</v>
      </c>
      <c r="F209" s="65">
        <v>0.0</v>
      </c>
      <c r="G209" s="79" t="s">
        <v>131</v>
      </c>
      <c r="H209" s="68"/>
      <c r="I209" s="68"/>
    </row>
    <row r="210" ht="14.25" customHeight="1">
      <c r="A210" s="76">
        <v>46059.0</v>
      </c>
      <c r="B210" s="65">
        <v>11.0</v>
      </c>
      <c r="C210" s="77" t="s">
        <v>54</v>
      </c>
      <c r="D210" s="78" t="s">
        <v>130</v>
      </c>
      <c r="E210" s="65">
        <v>0.0</v>
      </c>
      <c r="F210" s="65">
        <v>0.0</v>
      </c>
      <c r="G210" s="79" t="s">
        <v>131</v>
      </c>
      <c r="H210" s="68"/>
      <c r="I210" s="68"/>
    </row>
    <row r="211" ht="14.25" customHeight="1">
      <c r="A211" s="76">
        <v>46059.0</v>
      </c>
      <c r="B211" s="65">
        <v>11.0</v>
      </c>
      <c r="C211" s="77" t="s">
        <v>46</v>
      </c>
      <c r="D211" s="79" t="s">
        <v>125</v>
      </c>
      <c r="E211" s="65">
        <v>0.0</v>
      </c>
      <c r="F211" s="65">
        <v>0.0</v>
      </c>
      <c r="G211" s="79" t="s">
        <v>126</v>
      </c>
      <c r="H211" s="68"/>
      <c r="I211" s="65">
        <v>2.0</v>
      </c>
    </row>
    <row r="212" ht="14.25" customHeight="1">
      <c r="A212" s="76">
        <v>46059.0</v>
      </c>
      <c r="B212" s="65">
        <v>11.0</v>
      </c>
      <c r="C212" s="77" t="s">
        <v>28</v>
      </c>
      <c r="D212" s="78" t="s">
        <v>125</v>
      </c>
      <c r="E212" s="65">
        <v>1.0</v>
      </c>
      <c r="F212" s="65">
        <v>0.0</v>
      </c>
      <c r="G212" s="79" t="s">
        <v>126</v>
      </c>
      <c r="H212" s="68"/>
      <c r="I212" s="68"/>
    </row>
    <row r="213" ht="14.25" customHeight="1">
      <c r="A213" s="80">
        <v>46063.0</v>
      </c>
      <c r="B213" s="65">
        <v>12.0</v>
      </c>
      <c r="C213" s="81" t="s">
        <v>47</v>
      </c>
      <c r="D213" s="79" t="s">
        <v>125</v>
      </c>
      <c r="E213" s="65">
        <v>0.0</v>
      </c>
      <c r="F213" s="65">
        <v>0.0</v>
      </c>
      <c r="G213" s="79" t="s">
        <v>131</v>
      </c>
      <c r="H213" s="68"/>
      <c r="I213" s="65">
        <v>2.0</v>
      </c>
    </row>
    <row r="214" ht="14.25" customHeight="1">
      <c r="A214" s="80">
        <v>46063.0</v>
      </c>
      <c r="B214" s="65">
        <v>12.0</v>
      </c>
      <c r="C214" s="77" t="s">
        <v>27</v>
      </c>
      <c r="D214" s="79" t="s">
        <v>125</v>
      </c>
      <c r="E214" s="65">
        <v>1.0</v>
      </c>
      <c r="F214" s="65">
        <v>0.0</v>
      </c>
      <c r="G214" s="79" t="s">
        <v>131</v>
      </c>
      <c r="H214" s="68"/>
      <c r="I214" s="68"/>
    </row>
    <row r="215" ht="14.25" customHeight="1">
      <c r="A215" s="80">
        <v>46063.0</v>
      </c>
      <c r="B215" s="65">
        <v>12.0</v>
      </c>
      <c r="C215" s="77" t="s">
        <v>17</v>
      </c>
      <c r="D215" s="79" t="s">
        <v>125</v>
      </c>
      <c r="E215" s="65">
        <v>0.0</v>
      </c>
      <c r="F215" s="65">
        <v>1.0</v>
      </c>
      <c r="G215" s="79" t="s">
        <v>131</v>
      </c>
      <c r="H215" s="68"/>
      <c r="I215" s="68"/>
    </row>
    <row r="216" ht="14.25" customHeight="1">
      <c r="A216" s="80">
        <v>46063.0</v>
      </c>
      <c r="B216" s="65">
        <v>12.0</v>
      </c>
      <c r="C216" s="77" t="s">
        <v>36</v>
      </c>
      <c r="D216" s="79" t="s">
        <v>125</v>
      </c>
      <c r="E216" s="65">
        <v>0.0</v>
      </c>
      <c r="F216" s="65">
        <v>0.0</v>
      </c>
      <c r="G216" s="79" t="s">
        <v>131</v>
      </c>
      <c r="H216" s="68"/>
      <c r="I216" s="68"/>
    </row>
    <row r="217" ht="14.25" customHeight="1">
      <c r="A217" s="80">
        <v>46063.0</v>
      </c>
      <c r="B217" s="65">
        <v>12.0</v>
      </c>
      <c r="C217" s="77" t="s">
        <v>51</v>
      </c>
      <c r="D217" s="79" t="s">
        <v>125</v>
      </c>
      <c r="E217" s="65">
        <v>0.0</v>
      </c>
      <c r="F217" s="65">
        <v>0.0</v>
      </c>
      <c r="G217" s="79" t="s">
        <v>131</v>
      </c>
      <c r="H217" s="68"/>
      <c r="I217" s="68"/>
    </row>
    <row r="218" ht="14.25" customHeight="1">
      <c r="A218" s="80">
        <v>46063.0</v>
      </c>
      <c r="B218" s="65">
        <v>12.0</v>
      </c>
      <c r="C218" s="77" t="s">
        <v>22</v>
      </c>
      <c r="D218" s="79" t="s">
        <v>125</v>
      </c>
      <c r="E218" s="65">
        <v>0.0</v>
      </c>
      <c r="F218" s="65">
        <v>0.0</v>
      </c>
      <c r="G218" s="79" t="s">
        <v>131</v>
      </c>
      <c r="H218" s="68"/>
      <c r="I218" s="68"/>
    </row>
    <row r="219" ht="14.25" customHeight="1">
      <c r="A219" s="80">
        <v>46063.0</v>
      </c>
      <c r="B219" s="65">
        <v>12.0</v>
      </c>
      <c r="C219" s="77" t="s">
        <v>55</v>
      </c>
      <c r="D219" s="79" t="s">
        <v>125</v>
      </c>
      <c r="E219" s="65">
        <v>0.0</v>
      </c>
      <c r="F219" s="65">
        <v>0.0</v>
      </c>
      <c r="G219" s="79" t="s">
        <v>131</v>
      </c>
      <c r="H219" s="79" t="s">
        <v>128</v>
      </c>
      <c r="I219" s="68"/>
    </row>
    <row r="220" ht="14.25" customHeight="1">
      <c r="A220" s="80">
        <v>46063.0</v>
      </c>
      <c r="B220" s="65">
        <v>12.0</v>
      </c>
      <c r="C220" s="77" t="s">
        <v>20</v>
      </c>
      <c r="D220" s="79" t="s">
        <v>125</v>
      </c>
      <c r="E220" s="65">
        <v>0.0</v>
      </c>
      <c r="F220" s="65">
        <v>0.0</v>
      </c>
      <c r="G220" s="79" t="s">
        <v>131</v>
      </c>
      <c r="H220" s="68"/>
      <c r="I220" s="68"/>
    </row>
    <row r="221" ht="14.25" customHeight="1">
      <c r="A221" s="80">
        <v>46063.0</v>
      </c>
      <c r="B221" s="65">
        <v>12.0</v>
      </c>
      <c r="C221" s="77" t="s">
        <v>23</v>
      </c>
      <c r="D221" s="79" t="s">
        <v>125</v>
      </c>
      <c r="E221" s="65">
        <v>0.0</v>
      </c>
      <c r="F221" s="65">
        <v>0.0</v>
      </c>
      <c r="G221" s="79" t="s">
        <v>131</v>
      </c>
      <c r="H221" s="68"/>
      <c r="I221" s="68"/>
    </row>
    <row r="222" ht="14.25" customHeight="1">
      <c r="A222" s="80">
        <v>46063.0</v>
      </c>
      <c r="B222" s="65">
        <v>12.0</v>
      </c>
      <c r="C222" s="77" t="s">
        <v>28</v>
      </c>
      <c r="D222" s="79" t="s">
        <v>125</v>
      </c>
      <c r="E222" s="65">
        <v>0.0</v>
      </c>
      <c r="F222" s="65">
        <v>0.0</v>
      </c>
      <c r="G222" s="79" t="s">
        <v>131</v>
      </c>
      <c r="H222" s="68"/>
      <c r="I222" s="68"/>
    </row>
    <row r="223" ht="14.25" customHeight="1">
      <c r="A223" s="80">
        <v>46063.0</v>
      </c>
      <c r="B223" s="65">
        <v>12.0</v>
      </c>
      <c r="C223" s="77" t="s">
        <v>46</v>
      </c>
      <c r="D223" s="79" t="s">
        <v>130</v>
      </c>
      <c r="E223" s="65">
        <v>0.0</v>
      </c>
      <c r="F223" s="65">
        <v>0.0</v>
      </c>
      <c r="G223" s="79" t="s">
        <v>126</v>
      </c>
      <c r="H223" s="68"/>
      <c r="I223" s="65">
        <v>1.0</v>
      </c>
    </row>
    <row r="224" ht="14.25" customHeight="1">
      <c r="A224" s="80">
        <v>46063.0</v>
      </c>
      <c r="B224" s="65">
        <v>12.0</v>
      </c>
      <c r="C224" s="77" t="s">
        <v>24</v>
      </c>
      <c r="D224" s="79" t="s">
        <v>130</v>
      </c>
      <c r="E224" s="65">
        <v>1.0</v>
      </c>
      <c r="F224" s="65">
        <v>0.0</v>
      </c>
      <c r="G224" s="79" t="s">
        <v>126</v>
      </c>
      <c r="H224" s="68"/>
      <c r="I224" s="68"/>
    </row>
    <row r="225" ht="14.25" customHeight="1">
      <c r="A225" s="80">
        <v>46063.0</v>
      </c>
      <c r="B225" s="65">
        <v>12.0</v>
      </c>
      <c r="C225" s="77" t="s">
        <v>25</v>
      </c>
      <c r="D225" s="79" t="s">
        <v>130</v>
      </c>
      <c r="E225" s="65">
        <v>0.0</v>
      </c>
      <c r="F225" s="65">
        <v>2.0</v>
      </c>
      <c r="G225" s="79" t="s">
        <v>126</v>
      </c>
      <c r="H225" s="79" t="s">
        <v>128</v>
      </c>
      <c r="I225" s="68"/>
    </row>
    <row r="226" ht="14.25" customHeight="1">
      <c r="A226" s="80">
        <v>46063.0</v>
      </c>
      <c r="B226" s="65">
        <v>12.0</v>
      </c>
      <c r="C226" s="77" t="s">
        <v>26</v>
      </c>
      <c r="D226" s="79" t="s">
        <v>130</v>
      </c>
      <c r="E226" s="65">
        <v>1.0</v>
      </c>
      <c r="F226" s="65">
        <v>0.0</v>
      </c>
      <c r="G226" s="79" t="s">
        <v>126</v>
      </c>
      <c r="H226" s="68"/>
      <c r="I226" s="68"/>
    </row>
    <row r="227" ht="14.25" customHeight="1">
      <c r="A227" s="80">
        <v>46063.0</v>
      </c>
      <c r="B227" s="65">
        <v>12.0</v>
      </c>
      <c r="C227" s="77" t="s">
        <v>50</v>
      </c>
      <c r="D227" s="79" t="s">
        <v>130</v>
      </c>
      <c r="E227" s="65">
        <v>0.0</v>
      </c>
      <c r="F227" s="65">
        <v>0.0</v>
      </c>
      <c r="G227" s="79" t="s">
        <v>126</v>
      </c>
      <c r="H227" s="68"/>
      <c r="I227" s="68"/>
    </row>
    <row r="228" ht="14.25" customHeight="1">
      <c r="A228" s="80">
        <v>46063.0</v>
      </c>
      <c r="B228" s="65">
        <v>12.0</v>
      </c>
      <c r="C228" s="77" t="s">
        <v>37</v>
      </c>
      <c r="D228" s="79" t="s">
        <v>130</v>
      </c>
      <c r="E228" s="65">
        <v>0.0</v>
      </c>
      <c r="F228" s="65">
        <v>0.0</v>
      </c>
      <c r="G228" s="79" t="s">
        <v>126</v>
      </c>
      <c r="H228" s="68"/>
      <c r="I228" s="68"/>
    </row>
    <row r="229" ht="14.25" customHeight="1">
      <c r="A229" s="80">
        <v>46063.0</v>
      </c>
      <c r="B229" s="65">
        <v>12.0</v>
      </c>
      <c r="C229" s="77" t="s">
        <v>30</v>
      </c>
      <c r="D229" s="79" t="s">
        <v>130</v>
      </c>
      <c r="E229" s="65">
        <v>0.0</v>
      </c>
      <c r="F229" s="65">
        <v>0.0</v>
      </c>
      <c r="G229" s="79" t="s">
        <v>126</v>
      </c>
      <c r="H229" s="68"/>
      <c r="I229" s="68"/>
    </row>
    <row r="230" ht="14.25" customHeight="1">
      <c r="A230" s="80">
        <v>46063.0</v>
      </c>
      <c r="B230" s="65">
        <v>12.0</v>
      </c>
      <c r="C230" s="77" t="s">
        <v>21</v>
      </c>
      <c r="D230" s="79" t="s">
        <v>130</v>
      </c>
      <c r="E230" s="65">
        <v>0.0</v>
      </c>
      <c r="F230" s="65">
        <v>0.0</v>
      </c>
      <c r="G230" s="79" t="s">
        <v>126</v>
      </c>
      <c r="H230" s="68"/>
      <c r="I230" s="68"/>
    </row>
    <row r="231" ht="14.25" customHeight="1">
      <c r="A231" s="80">
        <v>46063.0</v>
      </c>
      <c r="B231" s="65">
        <v>12.0</v>
      </c>
      <c r="C231" s="77" t="s">
        <v>18</v>
      </c>
      <c r="D231" s="79" t="s">
        <v>130</v>
      </c>
      <c r="E231" s="65">
        <v>0.0</v>
      </c>
      <c r="F231" s="65">
        <v>0.0</v>
      </c>
      <c r="G231" s="79" t="s">
        <v>126</v>
      </c>
      <c r="H231" s="68"/>
      <c r="I231" s="68"/>
    </row>
    <row r="232" ht="14.25" customHeight="1">
      <c r="A232" s="80">
        <v>46063.0</v>
      </c>
      <c r="B232" s="65">
        <v>12.0</v>
      </c>
      <c r="C232" s="77" t="s">
        <v>24</v>
      </c>
      <c r="D232" s="79" t="s">
        <v>130</v>
      </c>
      <c r="E232" s="65">
        <v>0.0</v>
      </c>
      <c r="F232" s="65">
        <v>0.0</v>
      </c>
      <c r="G232" s="79" t="s">
        <v>126</v>
      </c>
      <c r="H232" s="68"/>
      <c r="I232" s="68"/>
    </row>
    <row r="233" ht="14.25" customHeight="1">
      <c r="A233" s="80">
        <v>46063.0</v>
      </c>
      <c r="B233" s="65">
        <v>12.0</v>
      </c>
      <c r="C233" s="77" t="s">
        <v>31</v>
      </c>
      <c r="D233" s="79" t="s">
        <v>130</v>
      </c>
      <c r="E233" s="65">
        <v>0.0</v>
      </c>
      <c r="F233" s="65">
        <v>0.0</v>
      </c>
      <c r="G233" s="79" t="s">
        <v>126</v>
      </c>
      <c r="H233" s="68"/>
      <c r="I233" s="68"/>
    </row>
    <row r="234" ht="14.25" customHeight="1">
      <c r="A234" s="80">
        <v>46066.0</v>
      </c>
      <c r="B234" s="65">
        <v>13.0</v>
      </c>
      <c r="C234" s="77" t="s">
        <v>46</v>
      </c>
      <c r="D234" s="79" t="s">
        <v>125</v>
      </c>
      <c r="E234" s="65">
        <v>0.0</v>
      </c>
      <c r="F234" s="65">
        <v>0.0</v>
      </c>
      <c r="G234" s="79" t="s">
        <v>126</v>
      </c>
      <c r="H234" s="68"/>
      <c r="I234" s="65">
        <v>2.0</v>
      </c>
    </row>
    <row r="235" ht="14.25" customHeight="1">
      <c r="A235" s="80">
        <v>46066.0</v>
      </c>
      <c r="B235" s="65">
        <v>13.0</v>
      </c>
      <c r="C235" s="77" t="s">
        <v>18</v>
      </c>
      <c r="D235" s="79" t="s">
        <v>125</v>
      </c>
      <c r="E235" s="65">
        <v>1.0</v>
      </c>
      <c r="F235" s="65">
        <v>2.0</v>
      </c>
      <c r="G235" s="79" t="s">
        <v>126</v>
      </c>
      <c r="H235" s="68"/>
      <c r="I235" s="68"/>
    </row>
    <row r="236" ht="14.25" customHeight="1">
      <c r="A236" s="80">
        <v>46066.0</v>
      </c>
      <c r="B236" s="65">
        <v>13.0</v>
      </c>
      <c r="C236" s="77" t="s">
        <v>55</v>
      </c>
      <c r="D236" s="79" t="s">
        <v>125</v>
      </c>
      <c r="E236" s="65">
        <v>0.0</v>
      </c>
      <c r="F236" s="65">
        <v>1.0</v>
      </c>
      <c r="G236" s="79" t="s">
        <v>126</v>
      </c>
      <c r="H236" s="68"/>
      <c r="I236" s="68"/>
    </row>
    <row r="237" ht="14.25" customHeight="1">
      <c r="A237" s="80">
        <v>46066.0</v>
      </c>
      <c r="B237" s="65">
        <v>13.0</v>
      </c>
      <c r="C237" s="77" t="s">
        <v>29</v>
      </c>
      <c r="D237" s="79" t="s">
        <v>125</v>
      </c>
      <c r="E237" s="65">
        <v>1.0</v>
      </c>
      <c r="F237" s="65">
        <v>0.0</v>
      </c>
      <c r="G237" s="79" t="s">
        <v>126</v>
      </c>
      <c r="H237" s="79" t="s">
        <v>128</v>
      </c>
      <c r="I237" s="68"/>
    </row>
    <row r="238" ht="14.25" customHeight="1">
      <c r="A238" s="80">
        <v>46066.0</v>
      </c>
      <c r="B238" s="65">
        <v>13.0</v>
      </c>
      <c r="C238" s="77" t="s">
        <v>30</v>
      </c>
      <c r="D238" s="79" t="s">
        <v>125</v>
      </c>
      <c r="E238" s="65">
        <v>1.0</v>
      </c>
      <c r="F238" s="65">
        <v>0.0</v>
      </c>
      <c r="G238" s="79" t="s">
        <v>126</v>
      </c>
      <c r="H238" s="68"/>
      <c r="I238" s="68"/>
    </row>
    <row r="239" ht="14.25" customHeight="1">
      <c r="A239" s="80">
        <v>46066.0</v>
      </c>
      <c r="B239" s="65">
        <v>13.0</v>
      </c>
      <c r="C239" s="77" t="s">
        <v>26</v>
      </c>
      <c r="D239" s="79" t="s">
        <v>125</v>
      </c>
      <c r="E239" s="65">
        <v>1.0</v>
      </c>
      <c r="F239" s="65">
        <v>0.0</v>
      </c>
      <c r="G239" s="79" t="s">
        <v>126</v>
      </c>
      <c r="H239" s="68"/>
      <c r="I239" s="68"/>
    </row>
    <row r="240" ht="14.25" customHeight="1">
      <c r="A240" s="80">
        <v>46066.0</v>
      </c>
      <c r="B240" s="65">
        <v>13.0</v>
      </c>
      <c r="C240" s="77" t="s">
        <v>36</v>
      </c>
      <c r="D240" s="79" t="s">
        <v>125</v>
      </c>
      <c r="E240" s="65">
        <v>0.0</v>
      </c>
      <c r="F240" s="65">
        <v>0.0</v>
      </c>
      <c r="G240" s="79" t="s">
        <v>126</v>
      </c>
      <c r="H240" s="68"/>
      <c r="I240" s="68"/>
    </row>
    <row r="241" ht="14.25" customHeight="1">
      <c r="A241" s="80">
        <v>46066.0</v>
      </c>
      <c r="B241" s="65">
        <v>13.0</v>
      </c>
      <c r="C241" s="77" t="s">
        <v>51</v>
      </c>
      <c r="D241" s="79" t="s">
        <v>125</v>
      </c>
      <c r="E241" s="65">
        <v>0.0</v>
      </c>
      <c r="F241" s="65">
        <v>0.0</v>
      </c>
      <c r="G241" s="79" t="s">
        <v>126</v>
      </c>
      <c r="H241" s="68"/>
      <c r="I241" s="68"/>
    </row>
    <row r="242" ht="14.25" customHeight="1">
      <c r="A242" s="80">
        <v>46066.0</v>
      </c>
      <c r="B242" s="65">
        <v>13.0</v>
      </c>
      <c r="C242" s="77" t="s">
        <v>28</v>
      </c>
      <c r="D242" s="79" t="s">
        <v>125</v>
      </c>
      <c r="E242" s="65">
        <v>0.0</v>
      </c>
      <c r="F242" s="65">
        <v>0.0</v>
      </c>
      <c r="G242" s="79" t="s">
        <v>126</v>
      </c>
      <c r="H242" s="68"/>
      <c r="I242" s="68"/>
    </row>
    <row r="243" ht="14.25" customHeight="1">
      <c r="A243" s="80">
        <v>46066.0</v>
      </c>
      <c r="B243" s="65">
        <v>13.0</v>
      </c>
      <c r="C243" s="77" t="s">
        <v>138</v>
      </c>
      <c r="D243" s="79" t="s">
        <v>130</v>
      </c>
      <c r="E243" s="65">
        <v>0.0</v>
      </c>
      <c r="F243" s="65">
        <v>0.0</v>
      </c>
      <c r="G243" s="79" t="s">
        <v>131</v>
      </c>
      <c r="H243" s="68"/>
      <c r="I243" s="65">
        <v>4.0</v>
      </c>
    </row>
    <row r="244" ht="14.25" customHeight="1">
      <c r="A244" s="80">
        <v>46066.0</v>
      </c>
      <c r="B244" s="65">
        <v>13.0</v>
      </c>
      <c r="C244" s="77" t="s">
        <v>24</v>
      </c>
      <c r="D244" s="79" t="s">
        <v>130</v>
      </c>
      <c r="E244" s="65">
        <v>1.0</v>
      </c>
      <c r="F244" s="65">
        <v>0.0</v>
      </c>
      <c r="G244" s="79" t="s">
        <v>131</v>
      </c>
      <c r="H244" s="68"/>
      <c r="I244" s="68"/>
    </row>
    <row r="245" ht="14.25" customHeight="1">
      <c r="A245" s="80">
        <v>46066.0</v>
      </c>
      <c r="B245" s="65">
        <v>13.0</v>
      </c>
      <c r="C245" s="77" t="s">
        <v>25</v>
      </c>
      <c r="D245" s="79" t="s">
        <v>130</v>
      </c>
      <c r="E245" s="65">
        <v>1.0</v>
      </c>
      <c r="F245" s="65">
        <v>0.0</v>
      </c>
      <c r="G245" s="79" t="s">
        <v>131</v>
      </c>
      <c r="H245" s="79" t="s">
        <v>128</v>
      </c>
      <c r="I245" s="68"/>
    </row>
    <row r="246" ht="14.25" customHeight="1">
      <c r="A246" s="80">
        <v>46066.0</v>
      </c>
      <c r="B246" s="65">
        <v>13.0</v>
      </c>
      <c r="C246" s="77" t="s">
        <v>23</v>
      </c>
      <c r="D246" s="79" t="s">
        <v>130</v>
      </c>
      <c r="E246" s="65">
        <v>0.0</v>
      </c>
      <c r="F246" s="65">
        <v>2.0</v>
      </c>
      <c r="G246" s="79" t="s">
        <v>131</v>
      </c>
      <c r="H246" s="68"/>
      <c r="I246" s="68"/>
    </row>
    <row r="247" ht="14.25" customHeight="1">
      <c r="A247" s="80">
        <v>46066.0</v>
      </c>
      <c r="B247" s="65">
        <v>13.0</v>
      </c>
      <c r="C247" s="77" t="s">
        <v>50</v>
      </c>
      <c r="D247" s="79" t="s">
        <v>130</v>
      </c>
      <c r="E247" s="65">
        <v>0.0</v>
      </c>
      <c r="F247" s="65">
        <v>0.0</v>
      </c>
      <c r="G247" s="79" t="s">
        <v>131</v>
      </c>
      <c r="H247" s="68"/>
      <c r="I247" s="68"/>
    </row>
    <row r="248" ht="14.25" customHeight="1">
      <c r="A248" s="80">
        <v>46066.0</v>
      </c>
      <c r="B248" s="65">
        <v>13.0</v>
      </c>
      <c r="C248" s="77" t="s">
        <v>27</v>
      </c>
      <c r="D248" s="79" t="s">
        <v>130</v>
      </c>
      <c r="E248" s="65">
        <v>0.0</v>
      </c>
      <c r="F248" s="65">
        <v>0.0</v>
      </c>
      <c r="G248" s="79" t="s">
        <v>131</v>
      </c>
      <c r="H248" s="68"/>
      <c r="I248" s="68"/>
    </row>
    <row r="249" ht="14.25" customHeight="1">
      <c r="A249" s="80">
        <v>46066.0</v>
      </c>
      <c r="B249" s="65">
        <v>13.0</v>
      </c>
      <c r="C249" s="77" t="s">
        <v>37</v>
      </c>
      <c r="D249" s="79" t="s">
        <v>130</v>
      </c>
      <c r="E249" s="65">
        <v>0.0</v>
      </c>
      <c r="F249" s="65">
        <v>0.0</v>
      </c>
      <c r="G249" s="79" t="s">
        <v>131</v>
      </c>
      <c r="H249" s="68"/>
      <c r="I249" s="68"/>
    </row>
    <row r="250" ht="14.25" customHeight="1">
      <c r="A250" s="80">
        <v>46066.0</v>
      </c>
      <c r="B250" s="65">
        <v>13.0</v>
      </c>
      <c r="C250" s="77" t="s">
        <v>17</v>
      </c>
      <c r="D250" s="79" t="s">
        <v>130</v>
      </c>
      <c r="E250" s="65">
        <v>0.0</v>
      </c>
      <c r="F250" s="65">
        <v>0.0</v>
      </c>
      <c r="G250" s="79" t="s">
        <v>131</v>
      </c>
      <c r="H250" s="68"/>
      <c r="I250" s="68"/>
    </row>
    <row r="251" ht="14.25" customHeight="1">
      <c r="A251" s="80">
        <v>46066.0</v>
      </c>
      <c r="B251" s="65">
        <v>13.0</v>
      </c>
      <c r="C251" s="77" t="s">
        <v>22</v>
      </c>
      <c r="D251" s="79" t="s">
        <v>130</v>
      </c>
      <c r="E251" s="65">
        <v>0.0</v>
      </c>
      <c r="F251" s="65">
        <v>0.0</v>
      </c>
      <c r="G251" s="79" t="s">
        <v>131</v>
      </c>
      <c r="H251" s="68"/>
      <c r="I251" s="68"/>
    </row>
    <row r="252" ht="14.25" customHeight="1">
      <c r="A252" s="80">
        <v>46070.0</v>
      </c>
      <c r="B252" s="65">
        <v>14.0</v>
      </c>
      <c r="C252" s="77" t="s">
        <v>61</v>
      </c>
      <c r="D252" s="79" t="s">
        <v>125</v>
      </c>
      <c r="E252" s="65">
        <v>0.0</v>
      </c>
      <c r="F252" s="65">
        <v>0.0</v>
      </c>
      <c r="G252" s="79" t="s">
        <v>126</v>
      </c>
      <c r="H252" s="68"/>
      <c r="I252" s="79">
        <v>4.0</v>
      </c>
      <c r="J252" s="65"/>
    </row>
    <row r="253" ht="14.25" customHeight="1">
      <c r="A253" s="80">
        <v>46070.0</v>
      </c>
      <c r="B253" s="65">
        <v>14.0</v>
      </c>
      <c r="C253" s="77" t="s">
        <v>17</v>
      </c>
      <c r="D253" s="78" t="s">
        <v>125</v>
      </c>
      <c r="E253" s="65">
        <v>2.0</v>
      </c>
      <c r="F253" s="65">
        <v>0.0</v>
      </c>
      <c r="G253" s="79" t="s">
        <v>126</v>
      </c>
      <c r="H253" s="68"/>
      <c r="I253" s="68"/>
      <c r="J253" s="68"/>
    </row>
    <row r="254" ht="14.25" customHeight="1">
      <c r="A254" s="80">
        <v>46070.0</v>
      </c>
      <c r="B254" s="65">
        <v>14.0</v>
      </c>
      <c r="C254" s="77" t="s">
        <v>33</v>
      </c>
      <c r="D254" s="78" t="s">
        <v>125</v>
      </c>
      <c r="E254" s="65">
        <v>2.0</v>
      </c>
      <c r="F254" s="65">
        <v>1.0</v>
      </c>
      <c r="G254" s="79" t="s">
        <v>126</v>
      </c>
      <c r="H254" s="79" t="s">
        <v>128</v>
      </c>
      <c r="I254" s="68"/>
      <c r="J254" s="68"/>
    </row>
    <row r="255" ht="14.25" customHeight="1">
      <c r="A255" s="80">
        <v>46070.0</v>
      </c>
      <c r="B255" s="65">
        <v>14.0</v>
      </c>
      <c r="C255" s="77" t="s">
        <v>37</v>
      </c>
      <c r="D255" s="78" t="s">
        <v>125</v>
      </c>
      <c r="E255" s="65">
        <v>1.0</v>
      </c>
      <c r="F255" s="65">
        <v>0.0</v>
      </c>
      <c r="G255" s="79" t="s">
        <v>126</v>
      </c>
      <c r="H255" s="68"/>
      <c r="I255" s="68"/>
      <c r="J255" s="68"/>
    </row>
    <row r="256" ht="14.25" customHeight="1">
      <c r="A256" s="80">
        <v>46070.0</v>
      </c>
      <c r="B256" s="65">
        <v>14.0</v>
      </c>
      <c r="C256" s="77" t="s">
        <v>44</v>
      </c>
      <c r="D256" s="78" t="s">
        <v>125</v>
      </c>
      <c r="E256" s="65">
        <v>0.0</v>
      </c>
      <c r="F256" s="65">
        <v>1.0</v>
      </c>
      <c r="G256" s="79" t="s">
        <v>126</v>
      </c>
      <c r="H256" s="68"/>
      <c r="I256" s="68"/>
      <c r="J256" s="68"/>
    </row>
    <row r="257" ht="14.25" customHeight="1">
      <c r="A257" s="80">
        <v>46070.0</v>
      </c>
      <c r="B257" s="65">
        <v>14.0</v>
      </c>
      <c r="C257" s="77" t="s">
        <v>24</v>
      </c>
      <c r="D257" s="78" t="s">
        <v>125</v>
      </c>
      <c r="E257" s="65">
        <v>0.0</v>
      </c>
      <c r="F257" s="65">
        <v>1.0</v>
      </c>
      <c r="G257" s="79" t="s">
        <v>126</v>
      </c>
      <c r="H257" s="68"/>
      <c r="I257" s="68"/>
      <c r="J257" s="68"/>
    </row>
    <row r="258" ht="14.25" customHeight="1">
      <c r="A258" s="80">
        <v>46070.0</v>
      </c>
      <c r="B258" s="65">
        <v>14.0</v>
      </c>
      <c r="C258" s="77" t="s">
        <v>48</v>
      </c>
      <c r="D258" s="78" t="s">
        <v>125</v>
      </c>
      <c r="E258" s="65">
        <v>0.0</v>
      </c>
      <c r="F258" s="65">
        <v>0.0</v>
      </c>
      <c r="G258" s="79" t="s">
        <v>126</v>
      </c>
      <c r="H258" s="68"/>
      <c r="I258" s="68"/>
      <c r="J258" s="68"/>
    </row>
    <row r="259" ht="14.25" customHeight="1">
      <c r="A259" s="80">
        <v>46070.0</v>
      </c>
      <c r="B259" s="65">
        <v>14.0</v>
      </c>
      <c r="C259" s="77" t="s">
        <v>27</v>
      </c>
      <c r="D259" s="78" t="s">
        <v>125</v>
      </c>
      <c r="E259" s="65">
        <v>0.0</v>
      </c>
      <c r="F259" s="65">
        <v>0.0</v>
      </c>
      <c r="G259" s="79" t="s">
        <v>126</v>
      </c>
      <c r="H259" s="68"/>
      <c r="I259" s="68"/>
      <c r="J259" s="68"/>
    </row>
    <row r="260" ht="14.25" customHeight="1">
      <c r="A260" s="80">
        <v>46070.0</v>
      </c>
      <c r="B260" s="65">
        <v>14.0</v>
      </c>
      <c r="C260" s="77" t="s">
        <v>51</v>
      </c>
      <c r="D260" s="78" t="s">
        <v>125</v>
      </c>
      <c r="E260" s="65">
        <v>0.0</v>
      </c>
      <c r="F260" s="65">
        <v>0.0</v>
      </c>
      <c r="G260" s="79" t="s">
        <v>126</v>
      </c>
      <c r="H260" s="68"/>
      <c r="I260" s="68"/>
      <c r="J260" s="68"/>
    </row>
    <row r="261" ht="14.25" customHeight="1">
      <c r="A261" s="80">
        <v>46070.0</v>
      </c>
      <c r="B261" s="65">
        <v>14.0</v>
      </c>
      <c r="C261" s="77" t="s">
        <v>139</v>
      </c>
      <c r="D261" s="78" t="s">
        <v>125</v>
      </c>
      <c r="E261" s="65">
        <v>0.0</v>
      </c>
      <c r="F261" s="65">
        <v>0.0</v>
      </c>
      <c r="G261" s="79" t="s">
        <v>126</v>
      </c>
      <c r="H261" s="68"/>
      <c r="I261" s="68"/>
      <c r="J261" s="68"/>
    </row>
    <row r="262" ht="14.25" customHeight="1">
      <c r="A262" s="80">
        <v>46070.0</v>
      </c>
      <c r="B262" s="65">
        <v>14.0</v>
      </c>
      <c r="C262" s="77" t="s">
        <v>58</v>
      </c>
      <c r="D262" s="79" t="s">
        <v>130</v>
      </c>
      <c r="E262" s="65">
        <v>0.0</v>
      </c>
      <c r="F262" s="65">
        <v>0.0</v>
      </c>
      <c r="G262" s="79" t="s">
        <v>131</v>
      </c>
      <c r="H262" s="68"/>
      <c r="I262" s="79">
        <v>5.0</v>
      </c>
      <c r="J262" s="65"/>
    </row>
    <row r="263" ht="14.25" customHeight="1">
      <c r="A263" s="80">
        <v>46070.0</v>
      </c>
      <c r="B263" s="65">
        <v>14.0</v>
      </c>
      <c r="C263" s="77" t="s">
        <v>16</v>
      </c>
      <c r="D263" s="79" t="s">
        <v>130</v>
      </c>
      <c r="E263" s="65">
        <v>2.0</v>
      </c>
      <c r="F263" s="65">
        <v>1.0</v>
      </c>
      <c r="G263" s="79" t="s">
        <v>131</v>
      </c>
      <c r="H263" s="79" t="s">
        <v>128</v>
      </c>
      <c r="I263" s="68"/>
      <c r="J263" s="68"/>
    </row>
    <row r="264" ht="14.25" customHeight="1">
      <c r="A264" s="80">
        <v>46070.0</v>
      </c>
      <c r="B264" s="65">
        <v>14.0</v>
      </c>
      <c r="C264" s="77" t="s">
        <v>32</v>
      </c>
      <c r="D264" s="79" t="s">
        <v>130</v>
      </c>
      <c r="E264" s="65">
        <v>2.0</v>
      </c>
      <c r="F264" s="65">
        <v>1.0</v>
      </c>
      <c r="G264" s="79" t="s">
        <v>131</v>
      </c>
      <c r="H264" s="68"/>
      <c r="I264" s="68"/>
      <c r="J264" s="68"/>
    </row>
    <row r="265" ht="14.25" customHeight="1">
      <c r="A265" s="80">
        <v>46070.0</v>
      </c>
      <c r="B265" s="65">
        <v>14.0</v>
      </c>
      <c r="C265" s="77" t="s">
        <v>26</v>
      </c>
      <c r="D265" s="79" t="s">
        <v>130</v>
      </c>
      <c r="E265" s="65">
        <v>0.0</v>
      </c>
      <c r="F265" s="65">
        <v>1.0</v>
      </c>
      <c r="G265" s="79" t="s">
        <v>131</v>
      </c>
      <c r="H265" s="68"/>
      <c r="I265" s="68"/>
      <c r="J265" s="68"/>
    </row>
    <row r="266" ht="14.25" customHeight="1">
      <c r="A266" s="80">
        <v>46070.0</v>
      </c>
      <c r="B266" s="65">
        <v>14.0</v>
      </c>
      <c r="C266" s="77" t="s">
        <v>36</v>
      </c>
      <c r="D266" s="79" t="s">
        <v>130</v>
      </c>
      <c r="E266" s="65">
        <v>0.0</v>
      </c>
      <c r="F266" s="65">
        <v>0.0</v>
      </c>
      <c r="G266" s="79" t="s">
        <v>131</v>
      </c>
      <c r="H266" s="68"/>
      <c r="I266" s="68"/>
      <c r="J266" s="68"/>
    </row>
    <row r="267" ht="14.25" customHeight="1">
      <c r="A267" s="80">
        <v>46070.0</v>
      </c>
      <c r="B267" s="65">
        <v>14.0</v>
      </c>
      <c r="C267" s="78" t="s">
        <v>56</v>
      </c>
      <c r="D267" s="79" t="s">
        <v>130</v>
      </c>
      <c r="E267" s="65">
        <v>0.0</v>
      </c>
      <c r="F267" s="65">
        <v>0.0</v>
      </c>
      <c r="G267" s="79" t="s">
        <v>131</v>
      </c>
      <c r="H267" s="68"/>
      <c r="I267" s="68"/>
      <c r="J267" s="68"/>
    </row>
    <row r="268" ht="14.25" customHeight="1">
      <c r="A268" s="80">
        <v>46070.0</v>
      </c>
      <c r="B268" s="65">
        <v>14.0</v>
      </c>
      <c r="C268" s="77" t="s">
        <v>25</v>
      </c>
      <c r="D268" s="79" t="s">
        <v>130</v>
      </c>
      <c r="E268" s="65">
        <v>0.0</v>
      </c>
      <c r="F268" s="65">
        <v>0.0</v>
      </c>
      <c r="G268" s="79" t="s">
        <v>131</v>
      </c>
      <c r="H268" s="68"/>
      <c r="I268" s="68"/>
      <c r="J268" s="68"/>
    </row>
    <row r="269" ht="14.25" customHeight="1">
      <c r="A269" s="80">
        <v>46070.0</v>
      </c>
      <c r="B269" s="65">
        <v>14.0</v>
      </c>
      <c r="C269" s="77" t="s">
        <v>22</v>
      </c>
      <c r="D269" s="79" t="s">
        <v>130</v>
      </c>
      <c r="E269" s="65">
        <v>0.0</v>
      </c>
      <c r="F269" s="65">
        <v>0.0</v>
      </c>
      <c r="G269" s="79" t="s">
        <v>131</v>
      </c>
      <c r="H269" s="68"/>
      <c r="I269" s="68"/>
      <c r="J269" s="68"/>
    </row>
    <row r="270" ht="14.25" customHeight="1">
      <c r="A270" s="80">
        <v>46070.0</v>
      </c>
      <c r="B270" s="65">
        <v>14.0</v>
      </c>
      <c r="C270" s="77" t="s">
        <v>28</v>
      </c>
      <c r="D270" s="79" t="s">
        <v>130</v>
      </c>
      <c r="E270" s="65">
        <v>0.0</v>
      </c>
      <c r="F270" s="65">
        <v>0.0</v>
      </c>
      <c r="G270" s="79" t="s">
        <v>131</v>
      </c>
      <c r="H270" s="68"/>
      <c r="I270" s="68"/>
      <c r="J270" s="68"/>
    </row>
    <row r="271" ht="14.25" customHeight="1">
      <c r="A271" s="80">
        <v>46070.0</v>
      </c>
      <c r="B271" s="65">
        <v>14.0</v>
      </c>
      <c r="C271" s="77" t="s">
        <v>30</v>
      </c>
      <c r="D271" s="79" t="s">
        <v>130</v>
      </c>
      <c r="E271" s="65">
        <v>0.0</v>
      </c>
      <c r="F271" s="65">
        <v>0.0</v>
      </c>
      <c r="G271" s="79" t="s">
        <v>131</v>
      </c>
      <c r="H271" s="68"/>
      <c r="I271" s="68"/>
      <c r="J271" s="68"/>
    </row>
    <row r="272" ht="14.25" customHeight="1">
      <c r="A272" s="80">
        <v>46073.0</v>
      </c>
      <c r="B272" s="65">
        <v>15.0</v>
      </c>
      <c r="C272" s="77" t="s">
        <v>47</v>
      </c>
      <c r="D272" s="79" t="s">
        <v>125</v>
      </c>
      <c r="E272" s="65">
        <v>0.0</v>
      </c>
      <c r="F272" s="65">
        <v>0.0</v>
      </c>
      <c r="G272" s="79" t="s">
        <v>126</v>
      </c>
      <c r="H272" s="68"/>
      <c r="I272" s="65">
        <v>1.0</v>
      </c>
    </row>
    <row r="273" ht="14.25" customHeight="1">
      <c r="A273" s="80">
        <v>46073.0</v>
      </c>
      <c r="B273" s="65">
        <v>15.0</v>
      </c>
      <c r="C273" s="77" t="s">
        <v>140</v>
      </c>
      <c r="D273" s="78" t="s">
        <v>125</v>
      </c>
      <c r="E273" s="65">
        <v>0.0</v>
      </c>
      <c r="F273" s="65">
        <v>1.0</v>
      </c>
      <c r="G273" s="79" t="s">
        <v>126</v>
      </c>
      <c r="H273" s="68"/>
      <c r="I273" s="68"/>
    </row>
    <row r="274" ht="14.25" customHeight="1">
      <c r="A274" s="80">
        <v>46073.0</v>
      </c>
      <c r="B274" s="65">
        <v>15.0</v>
      </c>
      <c r="C274" s="77" t="s">
        <v>36</v>
      </c>
      <c r="D274" s="78" t="s">
        <v>125</v>
      </c>
      <c r="E274" s="65">
        <v>1.0</v>
      </c>
      <c r="F274" s="65">
        <v>0.0</v>
      </c>
      <c r="G274" s="79" t="s">
        <v>126</v>
      </c>
      <c r="H274" s="79" t="s">
        <v>128</v>
      </c>
      <c r="I274" s="68"/>
    </row>
    <row r="275" ht="14.25" customHeight="1">
      <c r="A275" s="80">
        <v>46073.0</v>
      </c>
      <c r="B275" s="65">
        <v>15.0</v>
      </c>
      <c r="C275" s="77" t="s">
        <v>29</v>
      </c>
      <c r="D275" s="79" t="s">
        <v>125</v>
      </c>
      <c r="E275" s="65">
        <v>1.0</v>
      </c>
      <c r="F275" s="65">
        <v>1.0</v>
      </c>
      <c r="G275" s="79" t="s">
        <v>126</v>
      </c>
      <c r="H275" s="68"/>
      <c r="I275" s="68"/>
    </row>
    <row r="276" ht="14.25" customHeight="1">
      <c r="A276" s="80">
        <v>46073.0</v>
      </c>
      <c r="B276" s="65">
        <v>15.0</v>
      </c>
      <c r="C276" s="77" t="s">
        <v>30</v>
      </c>
      <c r="D276" s="79" t="s">
        <v>125</v>
      </c>
      <c r="E276" s="65">
        <v>1.0</v>
      </c>
      <c r="F276" s="65">
        <v>0.0</v>
      </c>
      <c r="G276" s="79" t="s">
        <v>126</v>
      </c>
      <c r="H276" s="68"/>
      <c r="I276" s="68"/>
    </row>
    <row r="277" ht="14.25" customHeight="1">
      <c r="A277" s="80">
        <v>46073.0</v>
      </c>
      <c r="B277" s="65">
        <v>15.0</v>
      </c>
      <c r="C277" s="77" t="s">
        <v>27</v>
      </c>
      <c r="D277" s="78" t="s">
        <v>125</v>
      </c>
      <c r="E277" s="65">
        <v>0.0</v>
      </c>
      <c r="F277" s="65">
        <v>0.0</v>
      </c>
      <c r="G277" s="79" t="s">
        <v>126</v>
      </c>
      <c r="H277" s="68"/>
      <c r="I277" s="68"/>
    </row>
    <row r="278" ht="14.25" customHeight="1">
      <c r="A278" s="80">
        <v>46073.0</v>
      </c>
      <c r="B278" s="65">
        <v>15.0</v>
      </c>
      <c r="C278" s="77" t="s">
        <v>141</v>
      </c>
      <c r="D278" s="78" t="s">
        <v>125</v>
      </c>
      <c r="E278" s="65">
        <v>0.0</v>
      </c>
      <c r="F278" s="65">
        <v>0.0</v>
      </c>
      <c r="G278" s="79" t="s">
        <v>126</v>
      </c>
      <c r="H278" s="68"/>
      <c r="I278" s="68"/>
    </row>
    <row r="279" ht="14.25" customHeight="1">
      <c r="A279" s="80">
        <v>46073.0</v>
      </c>
      <c r="B279" s="65">
        <v>15.0</v>
      </c>
      <c r="C279" s="77" t="s">
        <v>17</v>
      </c>
      <c r="D279" s="78" t="s">
        <v>125</v>
      </c>
      <c r="E279" s="65">
        <v>0.0</v>
      </c>
      <c r="F279" s="65">
        <v>0.0</v>
      </c>
      <c r="G279" s="79" t="s">
        <v>126</v>
      </c>
      <c r="H279" s="68"/>
      <c r="I279" s="68"/>
    </row>
    <row r="280" ht="14.25" customHeight="1">
      <c r="A280" s="80">
        <v>46073.0</v>
      </c>
      <c r="B280" s="65">
        <v>15.0</v>
      </c>
      <c r="C280" s="77" t="s">
        <v>28</v>
      </c>
      <c r="D280" s="78" t="s">
        <v>125</v>
      </c>
      <c r="E280" s="65">
        <v>0.0</v>
      </c>
      <c r="F280" s="65">
        <v>0.0</v>
      </c>
      <c r="G280" s="79" t="s">
        <v>126</v>
      </c>
      <c r="H280" s="68"/>
      <c r="I280" s="68"/>
    </row>
    <row r="281" ht="14.25" customHeight="1">
      <c r="A281" s="80">
        <v>46073.0</v>
      </c>
      <c r="B281" s="65">
        <v>15.0</v>
      </c>
      <c r="C281" s="77" t="s">
        <v>46</v>
      </c>
      <c r="D281" s="79" t="s">
        <v>130</v>
      </c>
      <c r="E281" s="65">
        <v>0.0</v>
      </c>
      <c r="F281" s="65">
        <v>0.0</v>
      </c>
      <c r="G281" s="79" t="s">
        <v>131</v>
      </c>
      <c r="H281" s="68"/>
      <c r="I281" s="65">
        <v>3.0</v>
      </c>
    </row>
    <row r="282" ht="14.25" customHeight="1">
      <c r="A282" s="80">
        <v>46073.0</v>
      </c>
      <c r="B282" s="65">
        <v>15.0</v>
      </c>
      <c r="C282" s="77" t="s">
        <v>127</v>
      </c>
      <c r="D282" s="79" t="s">
        <v>130</v>
      </c>
      <c r="E282" s="65">
        <v>0.0</v>
      </c>
      <c r="F282" s="65">
        <v>0.0</v>
      </c>
      <c r="G282" s="79" t="s">
        <v>131</v>
      </c>
      <c r="H282" s="68"/>
      <c r="I282" s="68"/>
    </row>
    <row r="283" ht="14.25" customHeight="1">
      <c r="A283" s="80">
        <v>46073.0</v>
      </c>
      <c r="B283" s="65">
        <v>15.0</v>
      </c>
      <c r="C283" s="77" t="s">
        <v>26</v>
      </c>
      <c r="D283" s="79" t="s">
        <v>130</v>
      </c>
      <c r="E283" s="65">
        <v>0.0</v>
      </c>
      <c r="F283" s="65">
        <v>0.0</v>
      </c>
      <c r="G283" s="79" t="s">
        <v>131</v>
      </c>
      <c r="H283" s="68"/>
      <c r="I283" s="68"/>
    </row>
    <row r="284" ht="14.25" customHeight="1">
      <c r="A284" s="80">
        <v>46073.0</v>
      </c>
      <c r="B284" s="65">
        <v>15.0</v>
      </c>
      <c r="C284" s="77" t="s">
        <v>51</v>
      </c>
      <c r="D284" s="78" t="s">
        <v>130</v>
      </c>
      <c r="E284" s="65">
        <v>0.0</v>
      </c>
      <c r="F284" s="65">
        <v>0.0</v>
      </c>
      <c r="G284" s="79" t="s">
        <v>131</v>
      </c>
      <c r="H284" s="68"/>
      <c r="I284" s="68"/>
    </row>
    <row r="285" ht="14.25" customHeight="1">
      <c r="A285" s="80">
        <v>46073.0</v>
      </c>
      <c r="B285" s="65">
        <v>15.0</v>
      </c>
      <c r="C285" s="77" t="s">
        <v>16</v>
      </c>
      <c r="D285" s="79" t="s">
        <v>130</v>
      </c>
      <c r="E285" s="65">
        <v>1.0</v>
      </c>
      <c r="F285" s="65">
        <v>0.0</v>
      </c>
      <c r="G285" s="79" t="s">
        <v>131</v>
      </c>
      <c r="H285" s="79" t="s">
        <v>128</v>
      </c>
      <c r="I285" s="68"/>
    </row>
    <row r="286" ht="14.25" customHeight="1">
      <c r="A286" s="80">
        <v>46073.0</v>
      </c>
      <c r="B286" s="65">
        <v>15.0</v>
      </c>
      <c r="C286" s="77" t="s">
        <v>22</v>
      </c>
      <c r="D286" s="79" t="s">
        <v>130</v>
      </c>
      <c r="E286" s="65">
        <v>0.0</v>
      </c>
      <c r="F286" s="65">
        <v>0.0</v>
      </c>
      <c r="G286" s="79" t="s">
        <v>131</v>
      </c>
      <c r="H286" s="68"/>
      <c r="I286" s="68"/>
    </row>
    <row r="287" ht="14.25" customHeight="1">
      <c r="A287" s="80">
        <v>46073.0</v>
      </c>
      <c r="B287" s="65">
        <v>15.0</v>
      </c>
      <c r="C287" s="77" t="s">
        <v>25</v>
      </c>
      <c r="D287" s="78" t="s">
        <v>130</v>
      </c>
      <c r="E287" s="65">
        <v>0.0</v>
      </c>
      <c r="F287" s="65">
        <v>1.0</v>
      </c>
      <c r="G287" s="79" t="s">
        <v>131</v>
      </c>
      <c r="H287" s="68"/>
      <c r="I287" s="68"/>
    </row>
    <row r="288" ht="14.25" customHeight="1">
      <c r="A288" s="80">
        <v>46073.0</v>
      </c>
      <c r="B288" s="65">
        <v>15.0</v>
      </c>
      <c r="C288" s="77" t="s">
        <v>23</v>
      </c>
      <c r="D288" s="78" t="s">
        <v>130</v>
      </c>
      <c r="E288" s="65">
        <v>0.0</v>
      </c>
      <c r="F288" s="65">
        <v>0.0</v>
      </c>
      <c r="G288" s="79" t="s">
        <v>131</v>
      </c>
      <c r="H288" s="68"/>
      <c r="I288" s="68"/>
    </row>
    <row r="289" ht="14.25" customHeight="1">
      <c r="A289" s="80">
        <v>46073.0</v>
      </c>
      <c r="B289" s="65">
        <v>15.0</v>
      </c>
      <c r="C289" s="77" t="s">
        <v>24</v>
      </c>
      <c r="D289" s="78" t="s">
        <v>130</v>
      </c>
      <c r="E289" s="65">
        <v>0.0</v>
      </c>
      <c r="F289" s="65">
        <v>0.0</v>
      </c>
      <c r="G289" s="79" t="s">
        <v>131</v>
      </c>
      <c r="H289" s="68"/>
      <c r="I289" s="68"/>
    </row>
    <row r="290" ht="14.25" customHeight="1">
      <c r="A290" s="80">
        <v>46077.0</v>
      </c>
      <c r="B290" s="65">
        <v>16.0</v>
      </c>
      <c r="C290" s="78" t="s">
        <v>57</v>
      </c>
      <c r="D290" s="79" t="s">
        <v>125</v>
      </c>
      <c r="E290" s="65">
        <v>0.0</v>
      </c>
      <c r="F290" s="65">
        <v>0.0</v>
      </c>
      <c r="G290" s="79" t="s">
        <v>132</v>
      </c>
      <c r="H290" s="68"/>
      <c r="I290" s="65">
        <v>3.0</v>
      </c>
    </row>
    <row r="291" ht="14.25" customHeight="1">
      <c r="A291" s="80">
        <v>46077.0</v>
      </c>
      <c r="B291" s="65">
        <v>16.0</v>
      </c>
      <c r="C291" s="77" t="s">
        <v>20</v>
      </c>
      <c r="D291" s="79" t="s">
        <v>125</v>
      </c>
      <c r="E291" s="65">
        <v>1.0</v>
      </c>
      <c r="F291" s="65">
        <v>0.0</v>
      </c>
      <c r="G291" s="79" t="s">
        <v>132</v>
      </c>
      <c r="H291" s="68"/>
      <c r="I291" s="68"/>
    </row>
    <row r="292" ht="14.25" customHeight="1">
      <c r="A292" s="80">
        <v>46077.0</v>
      </c>
      <c r="B292" s="65">
        <v>16.0</v>
      </c>
      <c r="C292" s="77" t="s">
        <v>24</v>
      </c>
      <c r="D292" s="79" t="s">
        <v>125</v>
      </c>
      <c r="E292" s="65">
        <v>1.0</v>
      </c>
      <c r="F292" s="65">
        <v>0.0</v>
      </c>
      <c r="G292" s="79" t="s">
        <v>132</v>
      </c>
      <c r="H292" s="68"/>
      <c r="I292" s="68"/>
    </row>
    <row r="293" ht="14.25" customHeight="1">
      <c r="A293" s="80">
        <v>46077.0</v>
      </c>
      <c r="B293" s="65">
        <v>16.0</v>
      </c>
      <c r="C293" s="77" t="s">
        <v>16</v>
      </c>
      <c r="D293" s="79" t="s">
        <v>125</v>
      </c>
      <c r="E293" s="65">
        <v>0.0</v>
      </c>
      <c r="F293" s="65">
        <v>1.0</v>
      </c>
      <c r="G293" s="79" t="s">
        <v>132</v>
      </c>
      <c r="H293" s="68"/>
      <c r="I293" s="68"/>
    </row>
    <row r="294" ht="14.25" customHeight="1">
      <c r="A294" s="80">
        <v>46077.0</v>
      </c>
      <c r="B294" s="65">
        <v>16.0</v>
      </c>
      <c r="C294" s="77" t="s">
        <v>23</v>
      </c>
      <c r="D294" s="79" t="s">
        <v>125</v>
      </c>
      <c r="E294" s="65">
        <v>1.0</v>
      </c>
      <c r="F294" s="65">
        <v>0.0</v>
      </c>
      <c r="G294" s="79" t="s">
        <v>132</v>
      </c>
      <c r="H294" s="68"/>
      <c r="I294" s="68"/>
    </row>
    <row r="295" ht="14.25" customHeight="1">
      <c r="A295" s="80">
        <v>46077.0</v>
      </c>
      <c r="B295" s="65">
        <v>16.0</v>
      </c>
      <c r="C295" s="77" t="s">
        <v>17</v>
      </c>
      <c r="D295" s="79" t="s">
        <v>125</v>
      </c>
      <c r="E295" s="65">
        <v>0.0</v>
      </c>
      <c r="F295" s="65">
        <v>1.0</v>
      </c>
      <c r="G295" s="79" t="s">
        <v>132</v>
      </c>
      <c r="H295" s="68"/>
      <c r="I295" s="68"/>
    </row>
    <row r="296" ht="14.25" customHeight="1">
      <c r="A296" s="80">
        <v>46077.0</v>
      </c>
      <c r="B296" s="65">
        <v>16.0</v>
      </c>
      <c r="C296" s="79" t="s">
        <v>36</v>
      </c>
      <c r="D296" s="79" t="s">
        <v>125</v>
      </c>
      <c r="E296" s="65">
        <v>0.0</v>
      </c>
      <c r="F296" s="65">
        <v>1.0</v>
      </c>
      <c r="G296" s="79" t="s">
        <v>132</v>
      </c>
      <c r="H296" s="68"/>
      <c r="I296" s="68"/>
    </row>
    <row r="297" ht="14.25" customHeight="1">
      <c r="A297" s="80">
        <v>46077.0</v>
      </c>
      <c r="B297" s="65">
        <v>16.0</v>
      </c>
      <c r="C297" s="77" t="s">
        <v>32</v>
      </c>
      <c r="D297" s="79" t="s">
        <v>125</v>
      </c>
      <c r="E297" s="65">
        <v>0.0</v>
      </c>
      <c r="F297" s="65">
        <v>0.0</v>
      </c>
      <c r="G297" s="79" t="s">
        <v>132</v>
      </c>
      <c r="H297" s="68"/>
      <c r="I297" s="68"/>
    </row>
    <row r="298" ht="14.25" customHeight="1">
      <c r="A298" s="80">
        <v>46077.0</v>
      </c>
      <c r="B298" s="65">
        <v>16.0</v>
      </c>
      <c r="C298" s="77" t="s">
        <v>25</v>
      </c>
      <c r="D298" s="79" t="s">
        <v>125</v>
      </c>
      <c r="E298" s="65">
        <v>0.0</v>
      </c>
      <c r="F298" s="65">
        <v>0.0</v>
      </c>
      <c r="G298" s="79" t="s">
        <v>132</v>
      </c>
      <c r="H298" s="68"/>
      <c r="I298" s="68"/>
    </row>
    <row r="299" ht="14.25" customHeight="1">
      <c r="A299" s="80">
        <v>46077.0</v>
      </c>
      <c r="B299" s="65">
        <v>16.0</v>
      </c>
      <c r="C299" s="77" t="s">
        <v>139</v>
      </c>
      <c r="D299" s="79" t="s">
        <v>125</v>
      </c>
      <c r="E299" s="65">
        <v>0.0</v>
      </c>
      <c r="F299" s="65">
        <v>0.0</v>
      </c>
      <c r="G299" s="79" t="s">
        <v>132</v>
      </c>
      <c r="H299" s="79" t="s">
        <v>128</v>
      </c>
      <c r="I299" s="68"/>
    </row>
    <row r="300" ht="14.25" customHeight="1">
      <c r="A300" s="80">
        <v>46077.0</v>
      </c>
      <c r="B300" s="65">
        <v>16.0</v>
      </c>
      <c r="C300" s="77" t="s">
        <v>61</v>
      </c>
      <c r="D300" s="79" t="s">
        <v>130</v>
      </c>
      <c r="E300" s="65">
        <v>0.0</v>
      </c>
      <c r="F300" s="65">
        <v>0.0</v>
      </c>
      <c r="G300" s="79" t="s">
        <v>132</v>
      </c>
      <c r="H300" s="68"/>
      <c r="I300" s="65">
        <v>3.0</v>
      </c>
    </row>
    <row r="301" ht="14.25" customHeight="1">
      <c r="A301" s="80">
        <v>46077.0</v>
      </c>
      <c r="B301" s="65">
        <v>16.0</v>
      </c>
      <c r="C301" s="77" t="s">
        <v>19</v>
      </c>
      <c r="D301" s="79" t="s">
        <v>130</v>
      </c>
      <c r="E301" s="65">
        <v>1.0</v>
      </c>
      <c r="F301" s="65">
        <v>0.0</v>
      </c>
      <c r="G301" s="79" t="s">
        <v>132</v>
      </c>
      <c r="H301" s="68"/>
      <c r="I301" s="68"/>
    </row>
    <row r="302" ht="14.25" customHeight="1">
      <c r="A302" s="80">
        <v>46077.0</v>
      </c>
      <c r="B302" s="65">
        <v>16.0</v>
      </c>
      <c r="C302" s="77" t="s">
        <v>30</v>
      </c>
      <c r="D302" s="79" t="s">
        <v>130</v>
      </c>
      <c r="E302" s="65">
        <v>0.0</v>
      </c>
      <c r="F302" s="65">
        <v>1.0</v>
      </c>
      <c r="G302" s="79" t="s">
        <v>132</v>
      </c>
      <c r="H302" s="68"/>
      <c r="I302" s="68"/>
    </row>
    <row r="303" ht="14.25" customHeight="1">
      <c r="A303" s="80">
        <v>46077.0</v>
      </c>
      <c r="B303" s="65">
        <v>16.0</v>
      </c>
      <c r="C303" s="77" t="s">
        <v>33</v>
      </c>
      <c r="D303" s="79" t="s">
        <v>130</v>
      </c>
      <c r="E303" s="65">
        <v>1.0</v>
      </c>
      <c r="F303" s="65">
        <v>0.0</v>
      </c>
      <c r="G303" s="79" t="s">
        <v>132</v>
      </c>
      <c r="H303" s="68"/>
      <c r="I303" s="68"/>
    </row>
    <row r="304" ht="14.25" customHeight="1">
      <c r="A304" s="80">
        <v>46077.0</v>
      </c>
      <c r="B304" s="65">
        <v>16.0</v>
      </c>
      <c r="C304" s="77" t="s">
        <v>26</v>
      </c>
      <c r="D304" s="79" t="s">
        <v>130</v>
      </c>
      <c r="E304" s="65">
        <v>1.0</v>
      </c>
      <c r="F304" s="65">
        <v>0.0</v>
      </c>
      <c r="G304" s="79" t="s">
        <v>132</v>
      </c>
      <c r="H304" s="79" t="s">
        <v>128</v>
      </c>
      <c r="I304" s="68"/>
    </row>
    <row r="305" ht="14.25" customHeight="1">
      <c r="A305" s="80">
        <v>46077.0</v>
      </c>
      <c r="B305" s="65">
        <v>16.0</v>
      </c>
      <c r="C305" s="77" t="s">
        <v>21</v>
      </c>
      <c r="D305" s="79" t="s">
        <v>130</v>
      </c>
      <c r="E305" s="65">
        <v>0.0</v>
      </c>
      <c r="F305" s="65">
        <v>1.0</v>
      </c>
      <c r="G305" s="79" t="s">
        <v>132</v>
      </c>
      <c r="H305" s="68"/>
      <c r="I305" s="68"/>
    </row>
    <row r="306" ht="14.25" customHeight="1">
      <c r="A306" s="80">
        <v>46077.0</v>
      </c>
      <c r="B306" s="65">
        <v>16.0</v>
      </c>
      <c r="C306" s="77" t="s">
        <v>28</v>
      </c>
      <c r="D306" s="79" t="s">
        <v>130</v>
      </c>
      <c r="E306" s="65">
        <v>0.0</v>
      </c>
      <c r="F306" s="65">
        <v>0.0</v>
      </c>
      <c r="G306" s="79" t="s">
        <v>132</v>
      </c>
      <c r="H306" s="68"/>
      <c r="I306" s="68"/>
    </row>
    <row r="307" ht="14.25" customHeight="1">
      <c r="A307" s="80">
        <v>46077.0</v>
      </c>
      <c r="B307" s="65">
        <v>16.0</v>
      </c>
      <c r="C307" s="77" t="s">
        <v>22</v>
      </c>
      <c r="D307" s="79" t="s">
        <v>130</v>
      </c>
      <c r="E307" s="65">
        <v>0.0</v>
      </c>
      <c r="F307" s="65">
        <v>0.0</v>
      </c>
      <c r="G307" s="79" t="s">
        <v>132</v>
      </c>
      <c r="H307" s="68"/>
      <c r="I307" s="68"/>
    </row>
    <row r="308" ht="14.25" customHeight="1">
      <c r="A308" s="80">
        <v>46077.0</v>
      </c>
      <c r="B308" s="65">
        <v>16.0</v>
      </c>
      <c r="C308" s="77" t="s">
        <v>48</v>
      </c>
      <c r="D308" s="79" t="s">
        <v>130</v>
      </c>
      <c r="E308" s="65">
        <v>0.0</v>
      </c>
      <c r="F308" s="65">
        <v>0.0</v>
      </c>
      <c r="G308" s="79" t="s">
        <v>132</v>
      </c>
      <c r="H308" s="68"/>
      <c r="I308" s="68"/>
    </row>
    <row r="309" ht="14.25" customHeight="1">
      <c r="A309" s="80">
        <v>46077.0</v>
      </c>
      <c r="B309" s="65">
        <v>16.0</v>
      </c>
      <c r="C309" s="77" t="s">
        <v>37</v>
      </c>
      <c r="D309" s="79" t="s">
        <v>130</v>
      </c>
      <c r="E309" s="65">
        <v>0.0</v>
      </c>
      <c r="F309" s="65">
        <v>0.0</v>
      </c>
      <c r="G309" s="79" t="s">
        <v>132</v>
      </c>
      <c r="H309" s="68"/>
      <c r="I309" s="68"/>
    </row>
    <row r="310" ht="14.25" customHeight="1">
      <c r="A310" s="80">
        <v>46080.0</v>
      </c>
      <c r="B310" s="65">
        <v>17.0</v>
      </c>
      <c r="C310" s="77" t="s">
        <v>46</v>
      </c>
      <c r="D310" s="79" t="s">
        <v>125</v>
      </c>
      <c r="E310" s="65">
        <v>0.0</v>
      </c>
      <c r="F310" s="65">
        <v>0.0</v>
      </c>
      <c r="G310" s="79" t="s">
        <v>131</v>
      </c>
      <c r="H310" s="68"/>
      <c r="I310" s="65">
        <v>9.0</v>
      </c>
    </row>
    <row r="311" ht="14.25" customHeight="1">
      <c r="A311" s="80">
        <v>46080.0</v>
      </c>
      <c r="B311" s="65">
        <v>17.0</v>
      </c>
      <c r="C311" s="77" t="s">
        <v>20</v>
      </c>
      <c r="D311" s="79" t="s">
        <v>125</v>
      </c>
      <c r="E311" s="65">
        <v>2.0</v>
      </c>
      <c r="F311" s="65">
        <v>1.0</v>
      </c>
      <c r="G311" s="79" t="s">
        <v>131</v>
      </c>
      <c r="H311" s="68"/>
      <c r="I311" s="68"/>
    </row>
    <row r="312" ht="14.25" customHeight="1">
      <c r="A312" s="80">
        <v>46080.0</v>
      </c>
      <c r="B312" s="65">
        <v>17.0</v>
      </c>
      <c r="C312" s="77" t="s">
        <v>16</v>
      </c>
      <c r="D312" s="79" t="s">
        <v>125</v>
      </c>
      <c r="E312" s="65">
        <v>2.0</v>
      </c>
      <c r="F312" s="65">
        <v>0.0</v>
      </c>
      <c r="G312" s="79" t="s">
        <v>131</v>
      </c>
      <c r="H312" s="79" t="s">
        <v>128</v>
      </c>
      <c r="I312" s="68"/>
    </row>
    <row r="313" ht="14.25" customHeight="1">
      <c r="A313" s="80">
        <v>46080.0</v>
      </c>
      <c r="B313" s="65">
        <v>17.0</v>
      </c>
      <c r="C313" s="77" t="s">
        <v>25</v>
      </c>
      <c r="D313" s="79" t="s">
        <v>125</v>
      </c>
      <c r="E313" s="65">
        <v>0.0</v>
      </c>
      <c r="F313" s="65">
        <v>1.0</v>
      </c>
      <c r="G313" s="79" t="s">
        <v>131</v>
      </c>
      <c r="H313" s="68"/>
      <c r="I313" s="68"/>
    </row>
    <row r="314" ht="14.25" customHeight="1">
      <c r="A314" s="80">
        <v>46080.0</v>
      </c>
      <c r="B314" s="65">
        <v>17.0</v>
      </c>
      <c r="C314" s="77" t="s">
        <v>18</v>
      </c>
      <c r="D314" s="79" t="s">
        <v>125</v>
      </c>
      <c r="E314" s="65">
        <v>0.0</v>
      </c>
      <c r="F314" s="65">
        <v>1.0</v>
      </c>
      <c r="G314" s="79" t="s">
        <v>131</v>
      </c>
      <c r="H314" s="68"/>
      <c r="I314" s="68"/>
    </row>
    <row r="315" ht="14.25" customHeight="1">
      <c r="A315" s="80">
        <v>46080.0</v>
      </c>
      <c r="B315" s="65">
        <v>17.0</v>
      </c>
      <c r="C315" s="77" t="s">
        <v>49</v>
      </c>
      <c r="D315" s="79" t="s">
        <v>125</v>
      </c>
      <c r="E315" s="65">
        <v>0.0</v>
      </c>
      <c r="F315" s="65">
        <v>0.0</v>
      </c>
      <c r="G315" s="79" t="s">
        <v>131</v>
      </c>
      <c r="H315" s="68"/>
      <c r="I315" s="68"/>
    </row>
    <row r="316" ht="14.25" customHeight="1">
      <c r="A316" s="80">
        <v>46080.0</v>
      </c>
      <c r="B316" s="65">
        <v>17.0</v>
      </c>
      <c r="C316" s="77" t="s">
        <v>26</v>
      </c>
      <c r="D316" s="79" t="s">
        <v>125</v>
      </c>
      <c r="E316" s="65">
        <v>0.0</v>
      </c>
      <c r="F316" s="65">
        <v>0.0</v>
      </c>
      <c r="G316" s="79" t="s">
        <v>131</v>
      </c>
      <c r="H316" s="68"/>
      <c r="I316" s="68"/>
    </row>
    <row r="317" ht="14.25" customHeight="1">
      <c r="A317" s="80">
        <v>46080.0</v>
      </c>
      <c r="B317" s="65">
        <v>17.0</v>
      </c>
      <c r="C317" s="77" t="s">
        <v>37</v>
      </c>
      <c r="D317" s="79" t="s">
        <v>125</v>
      </c>
      <c r="E317" s="65">
        <v>0.0</v>
      </c>
      <c r="F317" s="65">
        <v>0.0</v>
      </c>
      <c r="G317" s="79" t="s">
        <v>131</v>
      </c>
      <c r="H317" s="68"/>
      <c r="I317" s="68"/>
    </row>
    <row r="318" ht="14.25" customHeight="1">
      <c r="A318" s="80">
        <v>46080.0</v>
      </c>
      <c r="B318" s="65">
        <v>17.0</v>
      </c>
      <c r="C318" s="77" t="s">
        <v>32</v>
      </c>
      <c r="D318" s="79" t="s">
        <v>125</v>
      </c>
      <c r="E318" s="65">
        <v>0.0</v>
      </c>
      <c r="F318" s="65">
        <v>0.0</v>
      </c>
      <c r="G318" s="79" t="s">
        <v>131</v>
      </c>
      <c r="H318" s="68"/>
      <c r="I318" s="68"/>
    </row>
    <row r="319" ht="14.25" customHeight="1">
      <c r="A319" s="80">
        <v>46080.0</v>
      </c>
      <c r="B319" s="65">
        <v>17.0</v>
      </c>
      <c r="C319" s="77" t="s">
        <v>47</v>
      </c>
      <c r="D319" s="79" t="s">
        <v>130</v>
      </c>
      <c r="E319" s="65">
        <v>0.0</v>
      </c>
      <c r="F319" s="65">
        <v>1.0</v>
      </c>
      <c r="G319" s="79" t="s">
        <v>126</v>
      </c>
      <c r="H319" s="68"/>
      <c r="I319" s="65">
        <v>4.0</v>
      </c>
    </row>
    <row r="320" ht="14.25" customHeight="1">
      <c r="A320" s="80">
        <v>46080.0</v>
      </c>
      <c r="B320" s="65">
        <v>17.0</v>
      </c>
      <c r="C320" s="77" t="s">
        <v>19</v>
      </c>
      <c r="D320" s="79" t="s">
        <v>130</v>
      </c>
      <c r="E320" s="65">
        <v>6.0</v>
      </c>
      <c r="F320" s="65">
        <v>1.0</v>
      </c>
      <c r="G320" s="79" t="s">
        <v>126</v>
      </c>
      <c r="H320" s="79" t="s">
        <v>128</v>
      </c>
      <c r="I320" s="68"/>
    </row>
    <row r="321" ht="14.25" customHeight="1">
      <c r="A321" s="80">
        <v>46080.0</v>
      </c>
      <c r="B321" s="65">
        <v>17.0</v>
      </c>
      <c r="C321" s="77" t="s">
        <v>17</v>
      </c>
      <c r="D321" s="79" t="s">
        <v>130</v>
      </c>
      <c r="E321" s="65">
        <v>1.0</v>
      </c>
      <c r="F321" s="65">
        <v>2.0</v>
      </c>
      <c r="G321" s="79" t="s">
        <v>126</v>
      </c>
      <c r="H321" s="68"/>
      <c r="I321" s="68"/>
    </row>
    <row r="322" ht="14.25" customHeight="1">
      <c r="A322" s="80">
        <v>46080.0</v>
      </c>
      <c r="B322" s="65">
        <v>17.0</v>
      </c>
      <c r="C322" s="77" t="s">
        <v>36</v>
      </c>
      <c r="D322" s="79" t="s">
        <v>130</v>
      </c>
      <c r="E322" s="65">
        <v>1.0</v>
      </c>
      <c r="F322" s="65">
        <v>0.0</v>
      </c>
      <c r="G322" s="79" t="s">
        <v>126</v>
      </c>
      <c r="H322" s="68"/>
      <c r="I322" s="68"/>
    </row>
    <row r="323" ht="14.25" customHeight="1">
      <c r="A323" s="80">
        <v>46080.0</v>
      </c>
      <c r="B323" s="65">
        <v>17.0</v>
      </c>
      <c r="C323" s="77" t="s">
        <v>22</v>
      </c>
      <c r="D323" s="79" t="s">
        <v>130</v>
      </c>
      <c r="E323" s="65">
        <v>0.0</v>
      </c>
      <c r="F323" s="65">
        <v>0.0</v>
      </c>
      <c r="G323" s="79" t="s">
        <v>126</v>
      </c>
      <c r="H323" s="68"/>
      <c r="I323" s="68"/>
    </row>
    <row r="324" ht="14.25" customHeight="1">
      <c r="A324" s="80">
        <v>46080.0</v>
      </c>
      <c r="B324" s="65">
        <v>17.0</v>
      </c>
      <c r="C324" s="77" t="s">
        <v>48</v>
      </c>
      <c r="D324" s="79" t="s">
        <v>130</v>
      </c>
      <c r="E324" s="65">
        <v>0.0</v>
      </c>
      <c r="F324" s="65">
        <v>0.0</v>
      </c>
      <c r="G324" s="79" t="s">
        <v>126</v>
      </c>
      <c r="H324" s="68"/>
      <c r="I324" s="68"/>
    </row>
    <row r="325" ht="14.25" customHeight="1">
      <c r="A325" s="80">
        <v>46080.0</v>
      </c>
      <c r="B325" s="65">
        <v>17.0</v>
      </c>
      <c r="C325" s="77" t="s">
        <v>139</v>
      </c>
      <c r="D325" s="79" t="s">
        <v>130</v>
      </c>
      <c r="E325" s="65">
        <v>0.0</v>
      </c>
      <c r="F325" s="65">
        <v>0.0</v>
      </c>
      <c r="G325" s="79" t="s">
        <v>126</v>
      </c>
      <c r="H325" s="68"/>
      <c r="I325" s="68"/>
    </row>
    <row r="326" ht="14.25" customHeight="1">
      <c r="A326" s="80">
        <v>46080.0</v>
      </c>
      <c r="B326" s="65">
        <v>17.0</v>
      </c>
      <c r="C326" s="77" t="s">
        <v>23</v>
      </c>
      <c r="D326" s="79" t="s">
        <v>130</v>
      </c>
      <c r="E326" s="65">
        <v>1.0</v>
      </c>
      <c r="F326" s="65">
        <v>2.0</v>
      </c>
      <c r="G326" s="79" t="s">
        <v>126</v>
      </c>
      <c r="H326" s="68"/>
      <c r="I326" s="68"/>
    </row>
    <row r="327" ht="14.25" customHeight="1">
      <c r="A327" s="80">
        <v>46080.0</v>
      </c>
      <c r="B327" s="65">
        <v>17.0</v>
      </c>
      <c r="C327" s="77" t="s">
        <v>28</v>
      </c>
      <c r="D327" s="79" t="s">
        <v>130</v>
      </c>
      <c r="E327" s="65">
        <v>0.0</v>
      </c>
      <c r="F327" s="65">
        <v>0.0</v>
      </c>
      <c r="G327" s="79" t="s">
        <v>126</v>
      </c>
      <c r="H327" s="68"/>
      <c r="I327" s="68"/>
    </row>
    <row r="328" ht="14.25" customHeight="1">
      <c r="A328" s="80">
        <v>46084.0</v>
      </c>
      <c r="B328" s="65">
        <v>18.0</v>
      </c>
      <c r="C328" s="77" t="s">
        <v>46</v>
      </c>
      <c r="D328" s="79" t="s">
        <v>125</v>
      </c>
      <c r="E328" s="65">
        <v>0.0</v>
      </c>
      <c r="F328" s="65">
        <v>0.0</v>
      </c>
      <c r="G328" s="79" t="s">
        <v>131</v>
      </c>
      <c r="H328" s="68"/>
      <c r="I328" s="65">
        <v>5.0</v>
      </c>
    </row>
    <row r="329" ht="14.25" customHeight="1">
      <c r="A329" s="80">
        <v>46084.0</v>
      </c>
      <c r="B329" s="65">
        <v>18.0</v>
      </c>
      <c r="C329" s="77" t="s">
        <v>36</v>
      </c>
      <c r="D329" s="79" t="s">
        <v>125</v>
      </c>
      <c r="E329" s="65">
        <v>0.0</v>
      </c>
      <c r="F329" s="65">
        <v>0.0</v>
      </c>
      <c r="G329" s="79" t="s">
        <v>131</v>
      </c>
      <c r="H329" s="68"/>
      <c r="I329" s="68"/>
    </row>
    <row r="330" ht="14.25" customHeight="1">
      <c r="A330" s="80">
        <v>46084.0</v>
      </c>
      <c r="B330" s="65">
        <v>18.0</v>
      </c>
      <c r="C330" s="77" t="s">
        <v>26</v>
      </c>
      <c r="D330" s="79" t="s">
        <v>125</v>
      </c>
      <c r="E330" s="65">
        <v>0.0</v>
      </c>
      <c r="F330" s="65">
        <v>0.0</v>
      </c>
      <c r="G330" s="79" t="s">
        <v>131</v>
      </c>
      <c r="H330" s="68"/>
      <c r="I330" s="68"/>
    </row>
    <row r="331" ht="14.25" customHeight="1">
      <c r="A331" s="80">
        <v>46084.0</v>
      </c>
      <c r="B331" s="65">
        <v>18.0</v>
      </c>
      <c r="C331" s="77" t="s">
        <v>23</v>
      </c>
      <c r="D331" s="79" t="s">
        <v>125</v>
      </c>
      <c r="E331" s="65">
        <v>0.0</v>
      </c>
      <c r="F331" s="65">
        <v>0.0</v>
      </c>
      <c r="G331" s="79" t="s">
        <v>131</v>
      </c>
      <c r="H331" s="68"/>
      <c r="I331" s="68"/>
    </row>
    <row r="332" ht="14.25" customHeight="1">
      <c r="A332" s="80">
        <v>46084.0</v>
      </c>
      <c r="B332" s="65">
        <v>18.0</v>
      </c>
      <c r="C332" s="77" t="s">
        <v>21</v>
      </c>
      <c r="D332" s="79" t="s">
        <v>125</v>
      </c>
      <c r="E332" s="65">
        <v>1.0</v>
      </c>
      <c r="F332" s="65">
        <v>1.0</v>
      </c>
      <c r="G332" s="79" t="s">
        <v>131</v>
      </c>
      <c r="H332" s="79" t="s">
        <v>128</v>
      </c>
      <c r="I332" s="68"/>
    </row>
    <row r="333" ht="14.25" customHeight="1">
      <c r="A333" s="80">
        <v>46084.0</v>
      </c>
      <c r="B333" s="65">
        <v>18.0</v>
      </c>
      <c r="C333" s="77" t="s">
        <v>29</v>
      </c>
      <c r="D333" s="79" t="s">
        <v>125</v>
      </c>
      <c r="E333" s="65">
        <v>0.0</v>
      </c>
      <c r="F333" s="65">
        <v>0.0</v>
      </c>
      <c r="G333" s="79" t="s">
        <v>131</v>
      </c>
      <c r="H333" s="68"/>
      <c r="I333" s="68"/>
    </row>
    <row r="334" ht="14.25" customHeight="1">
      <c r="A334" s="80">
        <v>46084.0</v>
      </c>
      <c r="B334" s="65">
        <v>18.0</v>
      </c>
      <c r="C334" s="77" t="s">
        <v>24</v>
      </c>
      <c r="D334" s="79" t="s">
        <v>125</v>
      </c>
      <c r="E334" s="65">
        <v>0.0</v>
      </c>
      <c r="F334" s="65">
        <v>1.0</v>
      </c>
      <c r="G334" s="79" t="s">
        <v>131</v>
      </c>
      <c r="H334" s="68"/>
      <c r="I334" s="68"/>
    </row>
    <row r="335" ht="14.25" customHeight="1">
      <c r="A335" s="80">
        <v>46084.0</v>
      </c>
      <c r="B335" s="65">
        <v>18.0</v>
      </c>
      <c r="C335" s="77" t="s">
        <v>39</v>
      </c>
      <c r="D335" s="79" t="s">
        <v>125</v>
      </c>
      <c r="E335" s="65">
        <v>1.0</v>
      </c>
      <c r="F335" s="65">
        <v>0.0</v>
      </c>
      <c r="G335" s="79" t="s">
        <v>131</v>
      </c>
      <c r="H335" s="68"/>
      <c r="I335" s="68"/>
    </row>
    <row r="336" ht="14.25" customHeight="1">
      <c r="A336" s="80">
        <v>46084.0</v>
      </c>
      <c r="B336" s="65">
        <v>18.0</v>
      </c>
      <c r="C336" s="77" t="s">
        <v>19</v>
      </c>
      <c r="D336" s="79" t="s">
        <v>125</v>
      </c>
      <c r="E336" s="65">
        <v>0.0</v>
      </c>
      <c r="F336" s="65">
        <v>0.0</v>
      </c>
      <c r="G336" s="79" t="s">
        <v>131</v>
      </c>
      <c r="H336" s="68"/>
      <c r="I336" s="68"/>
    </row>
    <row r="337" ht="14.25" customHeight="1">
      <c r="A337" s="80">
        <v>46084.0</v>
      </c>
      <c r="B337" s="65">
        <v>18.0</v>
      </c>
      <c r="C337" s="77" t="s">
        <v>18</v>
      </c>
      <c r="D337" s="79" t="s">
        <v>125</v>
      </c>
      <c r="E337" s="65">
        <v>1.0</v>
      </c>
      <c r="F337" s="65">
        <v>1.0</v>
      </c>
      <c r="G337" s="79" t="s">
        <v>131</v>
      </c>
      <c r="H337" s="68"/>
      <c r="I337" s="68"/>
    </row>
    <row r="338" ht="14.25" customHeight="1">
      <c r="A338" s="80">
        <v>46084.0</v>
      </c>
      <c r="B338" s="65">
        <v>18.0</v>
      </c>
      <c r="C338" s="77" t="s">
        <v>133</v>
      </c>
      <c r="D338" s="79" t="s">
        <v>130</v>
      </c>
      <c r="E338" s="65">
        <v>0.0</v>
      </c>
      <c r="F338" s="65">
        <v>0.0</v>
      </c>
      <c r="G338" s="79" t="s">
        <v>126</v>
      </c>
      <c r="H338" s="79" t="s">
        <v>128</v>
      </c>
      <c r="I338" s="65">
        <v>3.0</v>
      </c>
    </row>
    <row r="339" ht="14.25" customHeight="1">
      <c r="A339" s="80">
        <v>46084.0</v>
      </c>
      <c r="B339" s="65">
        <v>18.0</v>
      </c>
      <c r="C339" s="77" t="s">
        <v>127</v>
      </c>
      <c r="D339" s="79" t="s">
        <v>130</v>
      </c>
      <c r="E339" s="65">
        <v>0.0</v>
      </c>
      <c r="F339" s="65">
        <v>0.0</v>
      </c>
      <c r="G339" s="79" t="s">
        <v>126</v>
      </c>
      <c r="H339" s="68"/>
      <c r="I339" s="68"/>
    </row>
    <row r="340" ht="14.25" customHeight="1">
      <c r="A340" s="80">
        <v>46084.0</v>
      </c>
      <c r="B340" s="65">
        <v>18.0</v>
      </c>
      <c r="C340" s="77" t="s">
        <v>38</v>
      </c>
      <c r="D340" s="79" t="s">
        <v>130</v>
      </c>
      <c r="E340" s="65">
        <v>0.0</v>
      </c>
      <c r="F340" s="65">
        <v>0.0</v>
      </c>
      <c r="G340" s="79" t="s">
        <v>126</v>
      </c>
      <c r="H340" s="68"/>
      <c r="I340" s="68"/>
    </row>
    <row r="341" ht="14.25" customHeight="1">
      <c r="A341" s="80">
        <v>46084.0</v>
      </c>
      <c r="B341" s="65">
        <v>18.0</v>
      </c>
      <c r="C341" s="77" t="s">
        <v>49</v>
      </c>
      <c r="D341" s="79" t="s">
        <v>130</v>
      </c>
      <c r="E341" s="65">
        <v>0.0</v>
      </c>
      <c r="F341" s="65">
        <v>0.0</v>
      </c>
      <c r="G341" s="79" t="s">
        <v>126</v>
      </c>
      <c r="H341" s="68"/>
      <c r="I341" s="68"/>
    </row>
    <row r="342" ht="14.25" customHeight="1">
      <c r="A342" s="80">
        <v>46084.0</v>
      </c>
      <c r="B342" s="65">
        <v>18.0</v>
      </c>
      <c r="C342" s="77" t="s">
        <v>17</v>
      </c>
      <c r="D342" s="79" t="s">
        <v>130</v>
      </c>
      <c r="E342" s="65">
        <v>0.0</v>
      </c>
      <c r="F342" s="65">
        <v>1.0</v>
      </c>
      <c r="G342" s="79" t="s">
        <v>126</v>
      </c>
      <c r="H342" s="68"/>
      <c r="I342" s="68"/>
    </row>
    <row r="343" ht="14.25" customHeight="1">
      <c r="A343" s="80">
        <v>46084.0</v>
      </c>
      <c r="B343" s="65">
        <v>18.0</v>
      </c>
      <c r="C343" s="77" t="s">
        <v>34</v>
      </c>
      <c r="D343" s="79" t="s">
        <v>130</v>
      </c>
      <c r="E343" s="65">
        <v>2.0</v>
      </c>
      <c r="F343" s="65">
        <v>0.0</v>
      </c>
      <c r="G343" s="79" t="s">
        <v>126</v>
      </c>
      <c r="H343" s="68"/>
      <c r="I343" s="68"/>
    </row>
    <row r="344" ht="14.25" customHeight="1">
      <c r="A344" s="80">
        <v>46084.0</v>
      </c>
      <c r="B344" s="65">
        <v>18.0</v>
      </c>
      <c r="C344" s="77" t="s">
        <v>33</v>
      </c>
      <c r="D344" s="79" t="s">
        <v>130</v>
      </c>
      <c r="E344" s="65">
        <v>0.0</v>
      </c>
      <c r="F344" s="65">
        <v>1.0</v>
      </c>
      <c r="G344" s="79" t="s">
        <v>126</v>
      </c>
      <c r="H344" s="68"/>
      <c r="I344" s="68"/>
    </row>
    <row r="345" ht="14.25" customHeight="1">
      <c r="A345" s="80">
        <v>46084.0</v>
      </c>
      <c r="B345" s="65">
        <v>18.0</v>
      </c>
      <c r="C345" s="77" t="s">
        <v>30</v>
      </c>
      <c r="D345" s="79" t="s">
        <v>130</v>
      </c>
      <c r="E345" s="65">
        <v>1.0</v>
      </c>
      <c r="F345" s="65">
        <v>1.0</v>
      </c>
      <c r="G345" s="79" t="s">
        <v>126</v>
      </c>
      <c r="H345" s="68"/>
      <c r="I345" s="68"/>
    </row>
    <row r="346" ht="14.25" customHeight="1">
      <c r="A346" s="80">
        <v>46084.0</v>
      </c>
      <c r="B346" s="65">
        <v>18.0</v>
      </c>
      <c r="C346" s="77" t="s">
        <v>16</v>
      </c>
      <c r="D346" s="79" t="s">
        <v>130</v>
      </c>
      <c r="E346" s="65">
        <v>2.0</v>
      </c>
      <c r="F346" s="65">
        <v>1.0</v>
      </c>
      <c r="G346" s="79" t="s">
        <v>126</v>
      </c>
      <c r="H346" s="68"/>
      <c r="I346" s="68"/>
    </row>
    <row r="347" ht="14.25" customHeight="1">
      <c r="A347" s="80">
        <v>46084.0</v>
      </c>
      <c r="B347" s="65">
        <v>18.0</v>
      </c>
      <c r="C347" s="77" t="s">
        <v>31</v>
      </c>
      <c r="D347" s="79" t="s">
        <v>130</v>
      </c>
      <c r="E347" s="65">
        <v>0.0</v>
      </c>
      <c r="F347" s="65">
        <v>0.0</v>
      </c>
      <c r="G347" s="79" t="s">
        <v>126</v>
      </c>
      <c r="H347" s="68"/>
      <c r="I347" s="68"/>
    </row>
    <row r="348" ht="14.25" customHeight="1">
      <c r="A348" s="82">
        <v>46087.0</v>
      </c>
      <c r="B348" s="65">
        <v>19.0</v>
      </c>
      <c r="C348" s="77" t="s">
        <v>46</v>
      </c>
      <c r="D348" s="79" t="s">
        <v>130</v>
      </c>
      <c r="E348" s="65">
        <v>0.0</v>
      </c>
      <c r="F348" s="65">
        <v>0.0</v>
      </c>
      <c r="G348" s="78" t="s">
        <v>126</v>
      </c>
      <c r="H348" s="79" t="s">
        <v>128</v>
      </c>
      <c r="I348" s="65">
        <v>1.0</v>
      </c>
      <c r="J348" s="68"/>
    </row>
    <row r="349" ht="14.25" customHeight="1">
      <c r="A349" s="82">
        <v>46087.0</v>
      </c>
      <c r="B349" s="65">
        <v>19.0</v>
      </c>
      <c r="C349" s="77" t="s">
        <v>16</v>
      </c>
      <c r="D349" s="79" t="s">
        <v>130</v>
      </c>
      <c r="E349" s="65">
        <v>1.0</v>
      </c>
      <c r="F349" s="65">
        <v>0.0</v>
      </c>
      <c r="G349" s="78" t="s">
        <v>126</v>
      </c>
      <c r="H349" s="68"/>
      <c r="I349" s="68"/>
      <c r="J349" s="68"/>
    </row>
    <row r="350" ht="14.25" customHeight="1">
      <c r="A350" s="82">
        <v>46087.0</v>
      </c>
      <c r="B350" s="65">
        <v>19.0</v>
      </c>
      <c r="C350" s="77" t="s">
        <v>18</v>
      </c>
      <c r="D350" s="79" t="s">
        <v>130</v>
      </c>
      <c r="E350" s="65">
        <v>2.0</v>
      </c>
      <c r="F350" s="65">
        <v>1.0</v>
      </c>
      <c r="G350" s="78" t="s">
        <v>126</v>
      </c>
      <c r="H350" s="68"/>
      <c r="I350" s="68"/>
      <c r="J350" s="68"/>
    </row>
    <row r="351" ht="14.25" customHeight="1">
      <c r="A351" s="82">
        <v>46087.0</v>
      </c>
      <c r="B351" s="65">
        <v>19.0</v>
      </c>
      <c r="C351" s="77" t="s">
        <v>24</v>
      </c>
      <c r="D351" s="79" t="s">
        <v>130</v>
      </c>
      <c r="E351" s="65">
        <v>0.0</v>
      </c>
      <c r="F351" s="65">
        <v>1.0</v>
      </c>
      <c r="G351" s="78" t="s">
        <v>126</v>
      </c>
      <c r="H351" s="68"/>
      <c r="I351" s="68"/>
      <c r="J351" s="68"/>
    </row>
    <row r="352" ht="14.25" customHeight="1">
      <c r="A352" s="82">
        <v>46087.0</v>
      </c>
      <c r="B352" s="65">
        <v>19.0</v>
      </c>
      <c r="C352" s="77" t="s">
        <v>47</v>
      </c>
      <c r="D352" s="79" t="s">
        <v>125</v>
      </c>
      <c r="E352" s="65">
        <v>0.0</v>
      </c>
      <c r="F352" s="65">
        <v>0.0</v>
      </c>
      <c r="G352" s="78" t="s">
        <v>131</v>
      </c>
      <c r="H352" s="79" t="s">
        <v>128</v>
      </c>
      <c r="I352" s="65">
        <v>5.0</v>
      </c>
      <c r="J352" s="68"/>
    </row>
    <row r="353" ht="14.25" customHeight="1">
      <c r="A353" s="82">
        <v>46087.0</v>
      </c>
      <c r="B353" s="65">
        <v>19.0</v>
      </c>
      <c r="C353" s="77" t="s">
        <v>31</v>
      </c>
      <c r="D353" s="79" t="s">
        <v>125</v>
      </c>
      <c r="E353" s="65">
        <v>1.0</v>
      </c>
      <c r="F353" s="65">
        <v>0.0</v>
      </c>
      <c r="G353" s="78" t="s">
        <v>131</v>
      </c>
      <c r="H353" s="68"/>
      <c r="I353" s="68"/>
      <c r="J353" s="68"/>
    </row>
    <row r="354" ht="14.25" customHeight="1">
      <c r="A354" s="82">
        <v>46087.0</v>
      </c>
      <c r="B354" s="65">
        <v>19.0</v>
      </c>
      <c r="C354" s="77" t="s">
        <v>127</v>
      </c>
      <c r="D354" s="79" t="s">
        <v>130</v>
      </c>
      <c r="E354" s="65">
        <v>0.0</v>
      </c>
      <c r="F354" s="65">
        <v>0.0</v>
      </c>
      <c r="G354" s="79" t="s">
        <v>126</v>
      </c>
      <c r="H354" s="68"/>
      <c r="I354" s="68"/>
      <c r="J354" s="68"/>
    </row>
    <row r="355" ht="14.25" customHeight="1">
      <c r="A355" s="82">
        <v>46087.0</v>
      </c>
      <c r="B355" s="65">
        <v>19.0</v>
      </c>
      <c r="C355" s="77" t="s">
        <v>26</v>
      </c>
      <c r="D355" s="79" t="s">
        <v>130</v>
      </c>
      <c r="E355" s="65">
        <v>0.0</v>
      </c>
      <c r="F355" s="65">
        <v>0.0</v>
      </c>
      <c r="G355" s="79" t="s">
        <v>126</v>
      </c>
      <c r="H355" s="68"/>
      <c r="I355" s="68"/>
      <c r="J355" s="68"/>
    </row>
    <row r="356" ht="14.25" customHeight="1">
      <c r="A356" s="82">
        <v>46087.0</v>
      </c>
      <c r="B356" s="65">
        <v>19.0</v>
      </c>
      <c r="C356" s="77" t="s">
        <v>36</v>
      </c>
      <c r="D356" s="79" t="s">
        <v>130</v>
      </c>
      <c r="E356" s="65">
        <v>0.0</v>
      </c>
      <c r="F356" s="65">
        <v>0.0</v>
      </c>
      <c r="G356" s="79" t="s">
        <v>126</v>
      </c>
      <c r="H356" s="68"/>
      <c r="I356" s="68"/>
      <c r="J356" s="68"/>
    </row>
    <row r="357" ht="14.25" customHeight="1">
      <c r="A357" s="82">
        <v>46087.0</v>
      </c>
      <c r="B357" s="65">
        <v>19.0</v>
      </c>
      <c r="C357" s="77" t="s">
        <v>17</v>
      </c>
      <c r="D357" s="79" t="s">
        <v>130</v>
      </c>
      <c r="E357" s="65">
        <v>0.0</v>
      </c>
      <c r="F357" s="65">
        <v>0.0</v>
      </c>
      <c r="G357" s="79" t="s">
        <v>126</v>
      </c>
      <c r="H357" s="68"/>
      <c r="I357" s="68"/>
      <c r="J357" s="68"/>
    </row>
    <row r="358" ht="14.25" customHeight="1">
      <c r="A358" s="82">
        <v>46087.0</v>
      </c>
      <c r="B358" s="65">
        <v>19.0</v>
      </c>
      <c r="C358" s="77" t="s">
        <v>141</v>
      </c>
      <c r="D358" s="79" t="s">
        <v>130</v>
      </c>
      <c r="E358" s="65">
        <v>2.0</v>
      </c>
      <c r="F358" s="65">
        <v>0.0</v>
      </c>
      <c r="G358" s="79" t="s">
        <v>126</v>
      </c>
      <c r="H358" s="68"/>
      <c r="I358" s="68"/>
      <c r="J358" s="68"/>
    </row>
    <row r="359" ht="14.25" customHeight="1">
      <c r="A359" s="82">
        <v>46087.0</v>
      </c>
      <c r="B359" s="65">
        <v>19.0</v>
      </c>
      <c r="C359" s="77" t="s">
        <v>49</v>
      </c>
      <c r="D359" s="79" t="s">
        <v>125</v>
      </c>
      <c r="E359" s="65">
        <v>0.0</v>
      </c>
      <c r="F359" s="65">
        <v>0.0</v>
      </c>
      <c r="G359" s="78" t="s">
        <v>131</v>
      </c>
      <c r="H359" s="68"/>
      <c r="I359" s="68"/>
      <c r="J359" s="68"/>
    </row>
    <row r="360" ht="14.25" customHeight="1">
      <c r="A360" s="82">
        <v>46087.0</v>
      </c>
      <c r="B360" s="65">
        <v>19.0</v>
      </c>
      <c r="C360" s="77" t="s">
        <v>52</v>
      </c>
      <c r="D360" s="79" t="s">
        <v>125</v>
      </c>
      <c r="E360" s="65">
        <v>0.0</v>
      </c>
      <c r="F360" s="65">
        <v>0.0</v>
      </c>
      <c r="G360" s="78" t="s">
        <v>131</v>
      </c>
      <c r="H360" s="68"/>
      <c r="I360" s="68"/>
      <c r="J360" s="68"/>
    </row>
    <row r="361" ht="14.25" customHeight="1">
      <c r="A361" s="82">
        <v>46087.0</v>
      </c>
      <c r="B361" s="65">
        <v>19.0</v>
      </c>
      <c r="C361" s="77" t="s">
        <v>39</v>
      </c>
      <c r="D361" s="79" t="s">
        <v>125</v>
      </c>
      <c r="E361" s="65">
        <v>0.0</v>
      </c>
      <c r="F361" s="65">
        <v>0.0</v>
      </c>
      <c r="G361" s="78" t="s">
        <v>131</v>
      </c>
      <c r="H361" s="68"/>
      <c r="I361" s="68"/>
      <c r="J361" s="68"/>
    </row>
    <row r="362" ht="14.25" customHeight="1">
      <c r="A362" s="82">
        <v>46087.0</v>
      </c>
      <c r="B362" s="65">
        <v>19.0</v>
      </c>
      <c r="C362" s="77" t="s">
        <v>29</v>
      </c>
      <c r="D362" s="79" t="s">
        <v>125</v>
      </c>
      <c r="E362" s="65">
        <v>0.0</v>
      </c>
      <c r="F362" s="65">
        <v>0.0</v>
      </c>
      <c r="G362" s="78" t="s">
        <v>131</v>
      </c>
      <c r="H362" s="68"/>
      <c r="I362" s="68"/>
      <c r="J362" s="68"/>
    </row>
    <row r="363" ht="14.25" customHeight="1">
      <c r="A363" s="82">
        <v>46087.0</v>
      </c>
      <c r="B363" s="65">
        <v>19.0</v>
      </c>
      <c r="C363" s="77" t="s">
        <v>30</v>
      </c>
      <c r="D363" s="79" t="s">
        <v>125</v>
      </c>
      <c r="E363" s="65">
        <v>0.0</v>
      </c>
      <c r="F363" s="65">
        <v>0.0</v>
      </c>
      <c r="G363" s="78" t="s">
        <v>131</v>
      </c>
      <c r="H363" s="68"/>
      <c r="I363" s="68"/>
      <c r="J363" s="68"/>
    </row>
    <row r="364" ht="14.25" customHeight="1">
      <c r="A364" s="82">
        <v>46087.0</v>
      </c>
      <c r="B364" s="65">
        <v>19.0</v>
      </c>
      <c r="C364" s="77" t="s">
        <v>42</v>
      </c>
      <c r="D364" s="79" t="s">
        <v>125</v>
      </c>
      <c r="E364" s="65">
        <v>0.0</v>
      </c>
      <c r="F364" s="65">
        <v>0.0</v>
      </c>
      <c r="G364" s="78" t="s">
        <v>131</v>
      </c>
      <c r="H364" s="68"/>
      <c r="I364" s="68"/>
      <c r="J364" s="68"/>
    </row>
    <row r="365" ht="14.25" customHeight="1">
      <c r="A365" s="82">
        <v>46087.0</v>
      </c>
      <c r="B365" s="65">
        <v>19.0</v>
      </c>
      <c r="C365" s="77" t="s">
        <v>140</v>
      </c>
      <c r="D365" s="79" t="s">
        <v>125</v>
      </c>
      <c r="E365" s="65">
        <v>0.0</v>
      </c>
      <c r="F365" s="65">
        <v>0.0</v>
      </c>
      <c r="G365" s="78" t="s">
        <v>131</v>
      </c>
      <c r="H365" s="68"/>
      <c r="I365" s="68"/>
      <c r="J365" s="68"/>
    </row>
    <row r="366" ht="14.25" customHeight="1">
      <c r="A366" s="83">
        <v>46091.0</v>
      </c>
      <c r="B366" s="65">
        <v>20.0</v>
      </c>
      <c r="C366" s="77" t="s">
        <v>46</v>
      </c>
      <c r="D366" s="79" t="s">
        <v>130</v>
      </c>
      <c r="E366" s="65">
        <v>0.0</v>
      </c>
      <c r="F366" s="65">
        <v>0.0</v>
      </c>
      <c r="G366" s="79" t="s">
        <v>126</v>
      </c>
      <c r="H366" s="68"/>
      <c r="I366" s="65">
        <v>3.0</v>
      </c>
    </row>
    <row r="367" ht="14.25" customHeight="1">
      <c r="A367" s="83">
        <v>46091.0</v>
      </c>
      <c r="B367" s="65">
        <v>20.0</v>
      </c>
      <c r="C367" s="77" t="s">
        <v>17</v>
      </c>
      <c r="D367" s="79" t="s">
        <v>130</v>
      </c>
      <c r="E367" s="65">
        <v>2.0</v>
      </c>
      <c r="F367" s="65">
        <v>0.0</v>
      </c>
      <c r="G367" s="79" t="s">
        <v>126</v>
      </c>
      <c r="H367" s="79" t="s">
        <v>128</v>
      </c>
      <c r="I367" s="68"/>
    </row>
    <row r="368" ht="14.25" customHeight="1">
      <c r="A368" s="80">
        <v>46091.0</v>
      </c>
      <c r="B368" s="65">
        <v>20.0</v>
      </c>
      <c r="C368" s="77" t="s">
        <v>140</v>
      </c>
      <c r="D368" s="79" t="s">
        <v>130</v>
      </c>
      <c r="E368" s="65">
        <v>1.0</v>
      </c>
      <c r="F368" s="65">
        <v>1.0</v>
      </c>
      <c r="G368" s="79" t="s">
        <v>126</v>
      </c>
      <c r="H368" s="68"/>
      <c r="I368" s="68"/>
    </row>
    <row r="369" ht="14.25" customHeight="1">
      <c r="A369" s="80">
        <v>46091.0</v>
      </c>
      <c r="B369" s="65">
        <v>20.0</v>
      </c>
      <c r="C369" s="77" t="s">
        <v>25</v>
      </c>
      <c r="D369" s="79" t="s">
        <v>130</v>
      </c>
      <c r="E369" s="65">
        <v>0.0</v>
      </c>
      <c r="F369" s="65">
        <v>1.0</v>
      </c>
      <c r="G369" s="79" t="s">
        <v>126</v>
      </c>
      <c r="H369" s="68"/>
      <c r="I369" s="68"/>
    </row>
    <row r="370" ht="14.25" customHeight="1">
      <c r="A370" s="80">
        <v>46091.0</v>
      </c>
      <c r="B370" s="65">
        <v>20.0</v>
      </c>
      <c r="C370" s="77" t="s">
        <v>35</v>
      </c>
      <c r="D370" s="79" t="s">
        <v>130</v>
      </c>
      <c r="E370" s="65">
        <v>1.0</v>
      </c>
      <c r="F370" s="65">
        <v>0.0</v>
      </c>
      <c r="G370" s="79" t="s">
        <v>126</v>
      </c>
      <c r="H370" s="68"/>
      <c r="I370" s="68"/>
    </row>
    <row r="371" ht="14.25" customHeight="1">
      <c r="A371" s="80">
        <v>46091.0</v>
      </c>
      <c r="B371" s="65">
        <v>20.0</v>
      </c>
      <c r="C371" s="77" t="s">
        <v>21</v>
      </c>
      <c r="D371" s="79" t="s">
        <v>130</v>
      </c>
      <c r="E371" s="65">
        <v>0.0</v>
      </c>
      <c r="F371" s="65">
        <v>1.0</v>
      </c>
      <c r="G371" s="79" t="s">
        <v>126</v>
      </c>
      <c r="H371" s="68"/>
      <c r="I371" s="68"/>
    </row>
    <row r="372" ht="14.25" customHeight="1">
      <c r="A372" s="80">
        <v>46091.0</v>
      </c>
      <c r="B372" s="65">
        <v>20.0</v>
      </c>
      <c r="C372" s="77" t="s">
        <v>24</v>
      </c>
      <c r="D372" s="79" t="s">
        <v>130</v>
      </c>
      <c r="E372" s="65">
        <v>0.0</v>
      </c>
      <c r="F372" s="65">
        <v>0.0</v>
      </c>
      <c r="G372" s="79" t="s">
        <v>126</v>
      </c>
      <c r="H372" s="68"/>
      <c r="I372" s="68"/>
    </row>
    <row r="373" ht="14.25" customHeight="1">
      <c r="A373" s="80">
        <v>46091.0</v>
      </c>
      <c r="B373" s="65">
        <v>20.0</v>
      </c>
      <c r="C373" s="77" t="s">
        <v>31</v>
      </c>
      <c r="D373" s="79" t="s">
        <v>130</v>
      </c>
      <c r="E373" s="65">
        <v>0.0</v>
      </c>
      <c r="F373" s="65">
        <v>0.0</v>
      </c>
      <c r="G373" s="79" t="s">
        <v>126</v>
      </c>
      <c r="H373" s="68"/>
      <c r="I373" s="68"/>
    </row>
    <row r="374" ht="14.25" customHeight="1">
      <c r="A374" s="80">
        <v>46091.0</v>
      </c>
      <c r="B374" s="65">
        <v>20.0</v>
      </c>
      <c r="C374" s="77" t="s">
        <v>26</v>
      </c>
      <c r="D374" s="79" t="s">
        <v>130</v>
      </c>
      <c r="E374" s="65">
        <v>0.0</v>
      </c>
      <c r="F374" s="65">
        <v>0.0</v>
      </c>
      <c r="G374" s="79" t="s">
        <v>126</v>
      </c>
      <c r="H374" s="68"/>
      <c r="I374" s="68"/>
    </row>
    <row r="375" ht="14.25" customHeight="1">
      <c r="A375" s="80">
        <v>46091.0</v>
      </c>
      <c r="B375" s="65">
        <v>20.0</v>
      </c>
      <c r="C375" s="77" t="s">
        <v>127</v>
      </c>
      <c r="D375" s="79" t="s">
        <v>130</v>
      </c>
      <c r="E375" s="65">
        <v>0.0</v>
      </c>
      <c r="F375" s="65">
        <v>0.0</v>
      </c>
      <c r="G375" s="79" t="s">
        <v>126</v>
      </c>
      <c r="H375" s="68"/>
      <c r="I375" s="68"/>
    </row>
    <row r="376" ht="14.25" customHeight="1">
      <c r="A376" s="80">
        <v>46091.0</v>
      </c>
      <c r="B376" s="65">
        <v>20.0</v>
      </c>
      <c r="C376" s="77" t="s">
        <v>47</v>
      </c>
      <c r="D376" s="79" t="s">
        <v>125</v>
      </c>
      <c r="E376" s="65">
        <v>0.0</v>
      </c>
      <c r="F376" s="65">
        <v>0.0</v>
      </c>
      <c r="G376" s="79" t="s">
        <v>131</v>
      </c>
      <c r="H376" s="68"/>
      <c r="I376" s="65">
        <v>4.0</v>
      </c>
    </row>
    <row r="377" ht="14.25" customHeight="1">
      <c r="A377" s="80">
        <v>46091.0</v>
      </c>
      <c r="B377" s="65">
        <v>20.0</v>
      </c>
      <c r="C377" s="77" t="s">
        <v>16</v>
      </c>
      <c r="D377" s="79" t="s">
        <v>125</v>
      </c>
      <c r="E377" s="65">
        <v>1.0</v>
      </c>
      <c r="F377" s="65">
        <v>0.0</v>
      </c>
      <c r="G377" s="79" t="s">
        <v>131</v>
      </c>
      <c r="H377" s="68"/>
      <c r="I377" s="68"/>
    </row>
    <row r="378" ht="14.25" customHeight="1">
      <c r="A378" s="80">
        <v>46091.0</v>
      </c>
      <c r="B378" s="65">
        <v>20.0</v>
      </c>
      <c r="C378" s="77" t="s">
        <v>33</v>
      </c>
      <c r="D378" s="79" t="s">
        <v>125</v>
      </c>
      <c r="E378" s="65">
        <v>1.0</v>
      </c>
      <c r="F378" s="65">
        <v>1.0</v>
      </c>
      <c r="G378" s="79" t="s">
        <v>131</v>
      </c>
      <c r="H378" s="79" t="s">
        <v>128</v>
      </c>
      <c r="I378" s="68"/>
    </row>
    <row r="379" ht="14.25" customHeight="1">
      <c r="A379" s="80">
        <v>46091.0</v>
      </c>
      <c r="B379" s="65">
        <v>20.0</v>
      </c>
      <c r="C379" s="77" t="s">
        <v>29</v>
      </c>
      <c r="D379" s="79" t="s">
        <v>125</v>
      </c>
      <c r="E379" s="65">
        <v>0.0</v>
      </c>
      <c r="F379" s="65">
        <v>1.0</v>
      </c>
      <c r="G379" s="79" t="s">
        <v>131</v>
      </c>
      <c r="H379" s="68"/>
      <c r="I379" s="68"/>
    </row>
    <row r="380" ht="14.25" customHeight="1">
      <c r="A380" s="80">
        <v>46091.0</v>
      </c>
      <c r="B380" s="65">
        <v>20.0</v>
      </c>
      <c r="C380" s="77" t="s">
        <v>18</v>
      </c>
      <c r="D380" s="79" t="s">
        <v>125</v>
      </c>
      <c r="E380" s="65">
        <v>0.0</v>
      </c>
      <c r="F380" s="65">
        <v>1.0</v>
      </c>
      <c r="G380" s="79" t="s">
        <v>131</v>
      </c>
      <c r="H380" s="68"/>
      <c r="I380" s="68"/>
    </row>
    <row r="381" ht="14.25" customHeight="1">
      <c r="A381" s="80">
        <v>46091.0</v>
      </c>
      <c r="B381" s="65">
        <v>20.0</v>
      </c>
      <c r="C381" s="77" t="s">
        <v>23</v>
      </c>
      <c r="D381" s="79" t="s">
        <v>125</v>
      </c>
      <c r="E381" s="65">
        <v>1.0</v>
      </c>
      <c r="F381" s="65">
        <v>0.0</v>
      </c>
      <c r="G381" s="79" t="s">
        <v>131</v>
      </c>
      <c r="H381" s="68"/>
      <c r="I381" s="68"/>
    </row>
    <row r="382" ht="14.25" customHeight="1">
      <c r="A382" s="80">
        <v>46091.0</v>
      </c>
      <c r="B382" s="65">
        <v>20.0</v>
      </c>
      <c r="C382" s="77" t="s">
        <v>36</v>
      </c>
      <c r="D382" s="79" t="s">
        <v>125</v>
      </c>
      <c r="E382" s="65">
        <v>0.0</v>
      </c>
      <c r="F382" s="65">
        <v>0.0</v>
      </c>
      <c r="G382" s="79" t="s">
        <v>131</v>
      </c>
      <c r="H382" s="68"/>
      <c r="I382" s="68"/>
    </row>
    <row r="383" ht="14.25" customHeight="1">
      <c r="A383" s="80">
        <v>46091.0</v>
      </c>
      <c r="B383" s="65">
        <v>20.0</v>
      </c>
      <c r="C383" s="77" t="s">
        <v>32</v>
      </c>
      <c r="D383" s="79" t="s">
        <v>125</v>
      </c>
      <c r="E383" s="65">
        <v>0.0</v>
      </c>
      <c r="F383" s="65">
        <v>0.0</v>
      </c>
      <c r="G383" s="79" t="s">
        <v>131</v>
      </c>
      <c r="H383" s="68"/>
      <c r="I383" s="68"/>
    </row>
    <row r="384" ht="14.25" customHeight="1">
      <c r="A384" s="80">
        <v>46091.0</v>
      </c>
      <c r="B384" s="65">
        <v>20.0</v>
      </c>
      <c r="C384" s="77" t="s">
        <v>30</v>
      </c>
      <c r="D384" s="79" t="s">
        <v>125</v>
      </c>
      <c r="E384" s="65">
        <v>0.0</v>
      </c>
      <c r="F384" s="65">
        <v>0.0</v>
      </c>
      <c r="G384" s="79" t="s">
        <v>131</v>
      </c>
      <c r="H384" s="68"/>
      <c r="I384" s="68"/>
    </row>
    <row r="385" ht="14.25" customHeight="1">
      <c r="A385" s="80">
        <v>46091.0</v>
      </c>
      <c r="B385" s="65">
        <v>20.0</v>
      </c>
      <c r="C385" s="77" t="s">
        <v>28</v>
      </c>
      <c r="D385" s="79" t="s">
        <v>125</v>
      </c>
      <c r="E385" s="65">
        <v>0.0</v>
      </c>
      <c r="F385" s="65">
        <v>0.0</v>
      </c>
      <c r="G385" s="79" t="s">
        <v>131</v>
      </c>
      <c r="H385" s="68"/>
      <c r="I385" s="68"/>
    </row>
    <row r="386" ht="14.25" customHeight="1">
      <c r="A386" s="80">
        <v>46094.0</v>
      </c>
      <c r="B386" s="65">
        <v>21.0</v>
      </c>
      <c r="C386" s="77" t="s">
        <v>46</v>
      </c>
      <c r="D386" s="79" t="s">
        <v>125</v>
      </c>
      <c r="E386" s="65">
        <v>0.0</v>
      </c>
      <c r="F386" s="65">
        <v>0.0</v>
      </c>
      <c r="G386" s="79" t="s">
        <v>132</v>
      </c>
      <c r="H386" s="68"/>
      <c r="I386" s="65">
        <v>3.0</v>
      </c>
    </row>
    <row r="387" ht="14.25" customHeight="1">
      <c r="A387" s="80">
        <v>46094.0</v>
      </c>
      <c r="B387" s="65">
        <v>21.0</v>
      </c>
      <c r="C387" s="77" t="s">
        <v>18</v>
      </c>
      <c r="D387" s="79" t="s">
        <v>125</v>
      </c>
      <c r="E387" s="65">
        <v>1.0</v>
      </c>
      <c r="F387" s="65">
        <v>0.0</v>
      </c>
      <c r="G387" s="79" t="s">
        <v>132</v>
      </c>
      <c r="H387" s="68"/>
      <c r="I387" s="68"/>
    </row>
    <row r="388" ht="14.25" customHeight="1">
      <c r="A388" s="80">
        <v>46094.0</v>
      </c>
      <c r="B388" s="65">
        <v>21.0</v>
      </c>
      <c r="C388" s="77" t="s">
        <v>35</v>
      </c>
      <c r="D388" s="79" t="s">
        <v>125</v>
      </c>
      <c r="E388" s="65">
        <v>1.0</v>
      </c>
      <c r="F388" s="65">
        <v>1.0</v>
      </c>
      <c r="G388" s="79" t="s">
        <v>132</v>
      </c>
      <c r="H388" s="79" t="s">
        <v>128</v>
      </c>
      <c r="I388" s="68"/>
    </row>
    <row r="389" ht="14.25" customHeight="1">
      <c r="A389" s="80">
        <v>46094.0</v>
      </c>
      <c r="B389" s="65">
        <v>21.0</v>
      </c>
      <c r="C389" s="77" t="s">
        <v>24</v>
      </c>
      <c r="D389" s="79" t="s">
        <v>125</v>
      </c>
      <c r="E389" s="65">
        <v>1.0</v>
      </c>
      <c r="F389" s="65">
        <v>0.0</v>
      </c>
      <c r="G389" s="79" t="s">
        <v>132</v>
      </c>
      <c r="H389" s="68"/>
      <c r="I389" s="68"/>
    </row>
    <row r="390" ht="14.25" customHeight="1">
      <c r="A390" s="80">
        <v>46094.0</v>
      </c>
      <c r="B390" s="65">
        <v>21.0</v>
      </c>
      <c r="C390" s="77" t="s">
        <v>38</v>
      </c>
      <c r="D390" s="79" t="s">
        <v>125</v>
      </c>
      <c r="E390" s="65">
        <v>0.0</v>
      </c>
      <c r="F390" s="65">
        <v>1.0</v>
      </c>
      <c r="G390" s="79" t="s">
        <v>132</v>
      </c>
      <c r="H390" s="68"/>
      <c r="I390" s="68"/>
    </row>
    <row r="391" ht="14.25" customHeight="1">
      <c r="A391" s="80">
        <v>46094.0</v>
      </c>
      <c r="B391" s="65">
        <v>21.0</v>
      </c>
      <c r="C391" s="77" t="s">
        <v>30</v>
      </c>
      <c r="D391" s="79" t="s">
        <v>125</v>
      </c>
      <c r="E391" s="65">
        <v>0.0</v>
      </c>
      <c r="F391" s="65">
        <v>1.0</v>
      </c>
      <c r="G391" s="79" t="s">
        <v>132</v>
      </c>
      <c r="H391" s="68"/>
      <c r="I391" s="68"/>
    </row>
    <row r="392" ht="14.25" customHeight="1">
      <c r="A392" s="80">
        <v>46094.0</v>
      </c>
      <c r="B392" s="65">
        <v>21.0</v>
      </c>
      <c r="C392" s="77" t="s">
        <v>26</v>
      </c>
      <c r="D392" s="79" t="s">
        <v>125</v>
      </c>
      <c r="E392" s="65">
        <v>0.0</v>
      </c>
      <c r="F392" s="65">
        <v>0.0</v>
      </c>
      <c r="G392" s="79" t="s">
        <v>132</v>
      </c>
      <c r="H392" s="68"/>
      <c r="I392" s="68"/>
    </row>
    <row r="393" ht="14.25" customHeight="1">
      <c r="A393" s="80">
        <v>46094.0</v>
      </c>
      <c r="B393" s="65">
        <v>21.0</v>
      </c>
      <c r="C393" s="77" t="s">
        <v>127</v>
      </c>
      <c r="D393" s="79" t="s">
        <v>125</v>
      </c>
      <c r="E393" s="65">
        <v>0.0</v>
      </c>
      <c r="F393" s="65">
        <v>0.0</v>
      </c>
      <c r="G393" s="79" t="s">
        <v>132</v>
      </c>
      <c r="H393" s="68"/>
      <c r="I393" s="68"/>
    </row>
    <row r="394" ht="14.25" customHeight="1">
      <c r="A394" s="80">
        <v>46094.0</v>
      </c>
      <c r="B394" s="65">
        <v>21.0</v>
      </c>
      <c r="C394" s="77" t="s">
        <v>37</v>
      </c>
      <c r="D394" s="79" t="s">
        <v>125</v>
      </c>
      <c r="E394" s="65">
        <v>0.0</v>
      </c>
      <c r="F394" s="65">
        <v>0.0</v>
      </c>
      <c r="G394" s="79" t="s">
        <v>132</v>
      </c>
      <c r="H394" s="68"/>
      <c r="I394" s="68"/>
    </row>
    <row r="395" ht="14.25" customHeight="1">
      <c r="A395" s="80">
        <v>46094.0</v>
      </c>
      <c r="B395" s="65">
        <v>21.0</v>
      </c>
      <c r="C395" s="77" t="s">
        <v>61</v>
      </c>
      <c r="D395" s="79" t="s">
        <v>130</v>
      </c>
      <c r="E395" s="65">
        <v>0.0</v>
      </c>
      <c r="F395" s="65">
        <v>0.0</v>
      </c>
      <c r="G395" s="79" t="s">
        <v>132</v>
      </c>
      <c r="H395" s="68"/>
      <c r="I395" s="65">
        <v>3.0</v>
      </c>
    </row>
    <row r="396" ht="14.25" customHeight="1">
      <c r="A396" s="80">
        <v>46094.0</v>
      </c>
      <c r="B396" s="65">
        <v>21.0</v>
      </c>
      <c r="C396" s="77" t="s">
        <v>16</v>
      </c>
      <c r="D396" s="79" t="s">
        <v>130</v>
      </c>
      <c r="E396" s="65">
        <v>3.0</v>
      </c>
      <c r="F396" s="65">
        <v>0.0</v>
      </c>
      <c r="G396" s="79" t="s">
        <v>132</v>
      </c>
      <c r="H396" s="79" t="s">
        <v>128</v>
      </c>
      <c r="I396" s="68"/>
    </row>
    <row r="397" ht="14.25" customHeight="1">
      <c r="A397" s="80">
        <v>46094.0</v>
      </c>
      <c r="B397" s="65">
        <v>21.0</v>
      </c>
      <c r="C397" s="77" t="s">
        <v>23</v>
      </c>
      <c r="D397" s="79" t="s">
        <v>130</v>
      </c>
      <c r="E397" s="65">
        <v>0.0</v>
      </c>
      <c r="F397" s="65">
        <v>2.0</v>
      </c>
      <c r="G397" s="79" t="s">
        <v>132</v>
      </c>
      <c r="H397" s="68"/>
      <c r="I397" s="68"/>
    </row>
    <row r="398" ht="14.25" customHeight="1">
      <c r="A398" s="80">
        <v>46094.0</v>
      </c>
      <c r="B398" s="65">
        <v>21.0</v>
      </c>
      <c r="C398" s="77" t="s">
        <v>36</v>
      </c>
      <c r="D398" s="79" t="s">
        <v>130</v>
      </c>
      <c r="E398" s="65">
        <v>0.0</v>
      </c>
      <c r="F398" s="65">
        <v>0.0</v>
      </c>
      <c r="G398" s="79" t="s">
        <v>132</v>
      </c>
      <c r="H398" s="68"/>
      <c r="I398" s="68"/>
    </row>
    <row r="399" ht="14.25" customHeight="1">
      <c r="A399" s="80">
        <v>46094.0</v>
      </c>
      <c r="B399" s="65">
        <v>21.0</v>
      </c>
      <c r="C399" s="77" t="s">
        <v>31</v>
      </c>
      <c r="D399" s="79" t="s">
        <v>130</v>
      </c>
      <c r="E399" s="65">
        <v>0.0</v>
      </c>
      <c r="F399" s="65">
        <v>0.0</v>
      </c>
      <c r="G399" s="79" t="s">
        <v>132</v>
      </c>
      <c r="H399" s="68"/>
      <c r="I399" s="68"/>
    </row>
    <row r="400" ht="14.25" customHeight="1">
      <c r="A400" s="80">
        <v>46094.0</v>
      </c>
      <c r="B400" s="65">
        <v>21.0</v>
      </c>
      <c r="C400" s="77" t="s">
        <v>25</v>
      </c>
      <c r="D400" s="79" t="s">
        <v>130</v>
      </c>
      <c r="E400" s="65">
        <v>0.0</v>
      </c>
      <c r="F400" s="65">
        <v>0.0</v>
      </c>
      <c r="G400" s="79" t="s">
        <v>132</v>
      </c>
      <c r="H400" s="68"/>
      <c r="I400" s="68"/>
    </row>
    <row r="401" ht="14.25" customHeight="1">
      <c r="A401" s="80">
        <v>46094.0</v>
      </c>
      <c r="B401" s="65">
        <v>21.0</v>
      </c>
      <c r="C401" s="77" t="s">
        <v>17</v>
      </c>
      <c r="D401" s="79" t="s">
        <v>130</v>
      </c>
      <c r="E401" s="65">
        <v>0.0</v>
      </c>
      <c r="F401" s="65">
        <v>0.0</v>
      </c>
      <c r="G401" s="79" t="s">
        <v>132</v>
      </c>
      <c r="H401" s="68"/>
      <c r="I401" s="68"/>
    </row>
    <row r="402" ht="14.25" customHeight="1">
      <c r="A402" s="80">
        <v>46094.0</v>
      </c>
      <c r="B402" s="65">
        <v>21.0</v>
      </c>
      <c r="C402" s="77" t="s">
        <v>140</v>
      </c>
      <c r="D402" s="79" t="s">
        <v>130</v>
      </c>
      <c r="E402" s="65">
        <v>0.0</v>
      </c>
      <c r="F402" s="65">
        <v>0.0</v>
      </c>
      <c r="G402" s="79" t="s">
        <v>132</v>
      </c>
      <c r="H402" s="68"/>
      <c r="I402" s="68"/>
    </row>
    <row r="403" ht="14.25" customHeight="1">
      <c r="A403" s="80">
        <v>46094.0</v>
      </c>
      <c r="B403" s="65">
        <v>21.0</v>
      </c>
      <c r="C403" s="77" t="s">
        <v>28</v>
      </c>
      <c r="D403" s="79" t="s">
        <v>130</v>
      </c>
      <c r="E403" s="65">
        <v>0.0</v>
      </c>
      <c r="F403" s="65">
        <v>0.0</v>
      </c>
      <c r="G403" s="79" t="s">
        <v>132</v>
      </c>
      <c r="H403" s="68"/>
      <c r="I403" s="68"/>
    </row>
    <row r="404" ht="14.25" customHeight="1">
      <c r="A404" s="80">
        <v>46098.0</v>
      </c>
      <c r="B404" s="65">
        <v>22.0</v>
      </c>
      <c r="C404" s="78" t="s">
        <v>133</v>
      </c>
      <c r="D404" s="79" t="s">
        <v>125</v>
      </c>
      <c r="E404" s="65">
        <v>0.0</v>
      </c>
      <c r="F404" s="65">
        <v>0.0</v>
      </c>
      <c r="G404" s="79" t="s">
        <v>131</v>
      </c>
      <c r="H404" s="79" t="s">
        <v>128</v>
      </c>
      <c r="I404" s="65">
        <v>5.0</v>
      </c>
    </row>
    <row r="405" ht="14.25" customHeight="1">
      <c r="A405" s="80">
        <v>46098.0</v>
      </c>
      <c r="B405" s="65">
        <v>22.0</v>
      </c>
      <c r="C405" s="79" t="s">
        <v>17</v>
      </c>
      <c r="D405" s="79" t="s">
        <v>125</v>
      </c>
      <c r="E405" s="65">
        <v>1.0</v>
      </c>
      <c r="F405" s="65">
        <v>0.0</v>
      </c>
      <c r="G405" s="79" t="s">
        <v>131</v>
      </c>
      <c r="H405" s="68"/>
      <c r="I405" s="68"/>
    </row>
    <row r="406" ht="14.25" customHeight="1">
      <c r="A406" s="80">
        <v>46098.0</v>
      </c>
      <c r="B406" s="65">
        <v>22.0</v>
      </c>
      <c r="C406" s="79" t="s">
        <v>21</v>
      </c>
      <c r="D406" s="79" t="s">
        <v>125</v>
      </c>
      <c r="E406" s="65">
        <v>1.0</v>
      </c>
      <c r="F406" s="65">
        <v>0.0</v>
      </c>
      <c r="G406" s="79" t="s">
        <v>131</v>
      </c>
      <c r="H406" s="68"/>
      <c r="I406" s="68"/>
    </row>
    <row r="407" ht="14.25" customHeight="1">
      <c r="A407" s="80">
        <v>46098.0</v>
      </c>
      <c r="B407" s="65">
        <v>22.0</v>
      </c>
      <c r="C407" s="78" t="s">
        <v>142</v>
      </c>
      <c r="D407" s="79" t="s">
        <v>125</v>
      </c>
      <c r="E407" s="65">
        <v>0.0</v>
      </c>
      <c r="F407" s="65">
        <v>1.0</v>
      </c>
      <c r="G407" s="79" t="s">
        <v>131</v>
      </c>
      <c r="H407" s="68"/>
      <c r="I407" s="68"/>
    </row>
    <row r="408" ht="14.25" customHeight="1">
      <c r="A408" s="80">
        <v>46098.0</v>
      </c>
      <c r="B408" s="65">
        <v>22.0</v>
      </c>
      <c r="C408" s="79" t="s">
        <v>36</v>
      </c>
      <c r="D408" s="79" t="s">
        <v>125</v>
      </c>
      <c r="E408" s="65">
        <v>0.0</v>
      </c>
      <c r="F408" s="65">
        <v>0.0</v>
      </c>
      <c r="G408" s="79" t="s">
        <v>131</v>
      </c>
      <c r="H408" s="68"/>
      <c r="I408" s="68"/>
    </row>
    <row r="409" ht="14.25" customHeight="1">
      <c r="A409" s="80">
        <v>46098.0</v>
      </c>
      <c r="B409" s="65">
        <v>22.0</v>
      </c>
      <c r="C409" s="79" t="s">
        <v>38</v>
      </c>
      <c r="D409" s="79" t="s">
        <v>125</v>
      </c>
      <c r="E409" s="65">
        <v>0.0</v>
      </c>
      <c r="F409" s="65">
        <v>0.0</v>
      </c>
      <c r="G409" s="79" t="s">
        <v>131</v>
      </c>
      <c r="H409" s="68"/>
      <c r="I409" s="68"/>
    </row>
    <row r="410" ht="14.25" customHeight="1">
      <c r="A410" s="80">
        <v>46098.0</v>
      </c>
      <c r="B410" s="65">
        <v>22.0</v>
      </c>
      <c r="C410" s="78" t="s">
        <v>37</v>
      </c>
      <c r="D410" s="79" t="s">
        <v>125</v>
      </c>
      <c r="E410" s="65">
        <v>0.0</v>
      </c>
      <c r="F410" s="65">
        <v>0.0</v>
      </c>
      <c r="G410" s="79" t="s">
        <v>131</v>
      </c>
      <c r="H410" s="68"/>
      <c r="I410" s="68"/>
    </row>
    <row r="411" ht="14.25" customHeight="1">
      <c r="A411" s="80">
        <v>46098.0</v>
      </c>
      <c r="B411" s="65">
        <v>22.0</v>
      </c>
      <c r="C411" s="79" t="s">
        <v>25</v>
      </c>
      <c r="D411" s="79" t="s">
        <v>125</v>
      </c>
      <c r="E411" s="65">
        <v>0.0</v>
      </c>
      <c r="F411" s="65">
        <v>0.0</v>
      </c>
      <c r="G411" s="79" t="s">
        <v>131</v>
      </c>
      <c r="H411" s="68"/>
      <c r="I411" s="68"/>
    </row>
    <row r="412" ht="14.25" customHeight="1">
      <c r="A412" s="80">
        <v>46098.0</v>
      </c>
      <c r="B412" s="65">
        <v>22.0</v>
      </c>
      <c r="C412" s="78" t="s">
        <v>140</v>
      </c>
      <c r="D412" s="79" t="s">
        <v>125</v>
      </c>
      <c r="E412" s="65">
        <v>0.0</v>
      </c>
      <c r="F412" s="65">
        <v>0.0</v>
      </c>
      <c r="G412" s="79" t="s">
        <v>131</v>
      </c>
      <c r="H412" s="68"/>
      <c r="I412" s="68"/>
    </row>
    <row r="413" ht="14.25" customHeight="1">
      <c r="A413" s="80">
        <v>46098.0</v>
      </c>
      <c r="B413" s="65">
        <v>22.0</v>
      </c>
      <c r="C413" s="79" t="s">
        <v>24</v>
      </c>
      <c r="D413" s="79" t="s">
        <v>125</v>
      </c>
      <c r="E413" s="65">
        <v>0.0</v>
      </c>
      <c r="F413" s="65">
        <v>0.0</v>
      </c>
      <c r="G413" s="79" t="s">
        <v>131</v>
      </c>
      <c r="H413" s="68"/>
      <c r="I413" s="68"/>
    </row>
    <row r="414" ht="14.25" customHeight="1">
      <c r="A414" s="80">
        <v>46098.0</v>
      </c>
      <c r="B414" s="65">
        <v>22.0</v>
      </c>
      <c r="C414" s="78" t="s">
        <v>61</v>
      </c>
      <c r="D414" s="79" t="s">
        <v>130</v>
      </c>
      <c r="E414" s="65">
        <v>0.0</v>
      </c>
      <c r="F414" s="65">
        <v>0.0</v>
      </c>
      <c r="G414" s="79" t="s">
        <v>126</v>
      </c>
      <c r="H414" s="68"/>
      <c r="I414" s="65">
        <v>2.0</v>
      </c>
    </row>
    <row r="415" ht="14.25" customHeight="1">
      <c r="A415" s="80">
        <v>46098.0</v>
      </c>
      <c r="B415" s="65">
        <v>22.0</v>
      </c>
      <c r="C415" s="78" t="s">
        <v>16</v>
      </c>
      <c r="D415" s="79" t="s">
        <v>130</v>
      </c>
      <c r="E415" s="65">
        <v>4.0</v>
      </c>
      <c r="F415" s="65">
        <v>1.0</v>
      </c>
      <c r="G415" s="79" t="s">
        <v>126</v>
      </c>
      <c r="H415" s="79" t="s">
        <v>128</v>
      </c>
      <c r="I415" s="68"/>
    </row>
    <row r="416" ht="14.25" customHeight="1">
      <c r="A416" s="80">
        <v>46098.0</v>
      </c>
      <c r="B416" s="65">
        <v>22.0</v>
      </c>
      <c r="C416" s="79" t="s">
        <v>18</v>
      </c>
      <c r="D416" s="79" t="s">
        <v>130</v>
      </c>
      <c r="E416" s="65">
        <v>1.0</v>
      </c>
      <c r="F416" s="65">
        <v>2.0</v>
      </c>
      <c r="G416" s="79" t="s">
        <v>126</v>
      </c>
      <c r="H416" s="68"/>
      <c r="I416" s="68"/>
    </row>
    <row r="417" ht="14.25" customHeight="1">
      <c r="A417" s="80">
        <v>46098.0</v>
      </c>
      <c r="B417" s="65">
        <v>22.0</v>
      </c>
      <c r="C417" s="78" t="s">
        <v>127</v>
      </c>
      <c r="D417" s="79" t="s">
        <v>130</v>
      </c>
      <c r="E417" s="65">
        <v>0.0</v>
      </c>
      <c r="F417" s="65">
        <v>0.0</v>
      </c>
      <c r="G417" s="79" t="s">
        <v>126</v>
      </c>
      <c r="H417" s="68"/>
      <c r="I417" s="68"/>
    </row>
    <row r="418" ht="14.25" customHeight="1">
      <c r="A418" s="80">
        <v>46098.0</v>
      </c>
      <c r="B418" s="65">
        <v>22.0</v>
      </c>
      <c r="C418" s="78" t="s">
        <v>26</v>
      </c>
      <c r="D418" s="79" t="s">
        <v>130</v>
      </c>
      <c r="E418" s="65">
        <v>0.0</v>
      </c>
      <c r="F418" s="65">
        <v>0.0</v>
      </c>
      <c r="G418" s="79" t="s">
        <v>126</v>
      </c>
      <c r="H418" s="68"/>
      <c r="I418" s="68"/>
    </row>
    <row r="419" ht="14.25" customHeight="1">
      <c r="A419" s="80">
        <v>46098.0</v>
      </c>
      <c r="B419" s="65">
        <v>22.0</v>
      </c>
      <c r="C419" s="78" t="s">
        <v>23</v>
      </c>
      <c r="D419" s="79" t="s">
        <v>130</v>
      </c>
      <c r="E419" s="65">
        <v>0.0</v>
      </c>
      <c r="F419" s="65">
        <v>0.0</v>
      </c>
      <c r="G419" s="79" t="s">
        <v>126</v>
      </c>
      <c r="H419" s="68"/>
      <c r="I419" s="68"/>
    </row>
    <row r="420" ht="14.25" customHeight="1">
      <c r="A420" s="80">
        <v>46098.0</v>
      </c>
      <c r="B420" s="65">
        <v>22.0</v>
      </c>
      <c r="C420" s="78" t="s">
        <v>30</v>
      </c>
      <c r="D420" s="79" t="s">
        <v>130</v>
      </c>
      <c r="E420" s="65">
        <v>0.0</v>
      </c>
      <c r="F420" s="65">
        <v>0.0</v>
      </c>
      <c r="G420" s="79" t="s">
        <v>126</v>
      </c>
      <c r="H420" s="68"/>
      <c r="I420" s="68"/>
    </row>
    <row r="421" ht="14.25" customHeight="1">
      <c r="A421" s="80">
        <v>46098.0</v>
      </c>
      <c r="B421" s="65">
        <v>22.0</v>
      </c>
      <c r="C421" s="78" t="s">
        <v>35</v>
      </c>
      <c r="D421" s="79" t="s">
        <v>130</v>
      </c>
      <c r="E421" s="65">
        <v>0.0</v>
      </c>
      <c r="F421" s="65">
        <v>0.0</v>
      </c>
      <c r="G421" s="79" t="s">
        <v>126</v>
      </c>
      <c r="H421" s="68"/>
      <c r="I421" s="68"/>
    </row>
    <row r="422" ht="14.25" customHeight="1">
      <c r="A422" s="80">
        <v>46098.0</v>
      </c>
      <c r="B422" s="65">
        <v>22.0</v>
      </c>
      <c r="C422" s="78" t="s">
        <v>33</v>
      </c>
      <c r="D422" s="79" t="s">
        <v>130</v>
      </c>
      <c r="E422" s="65">
        <v>0.0</v>
      </c>
      <c r="F422" s="65">
        <v>0.0</v>
      </c>
      <c r="G422" s="79" t="s">
        <v>126</v>
      </c>
      <c r="H422" s="68"/>
      <c r="I422" s="68"/>
    </row>
    <row r="423" ht="14.25" customHeight="1">
      <c r="A423" s="80">
        <v>46098.0</v>
      </c>
      <c r="B423" s="65">
        <v>22.0</v>
      </c>
      <c r="C423" s="78" t="s">
        <v>28</v>
      </c>
      <c r="D423" s="79" t="s">
        <v>130</v>
      </c>
      <c r="E423" s="65">
        <v>0.0</v>
      </c>
      <c r="F423" s="65">
        <v>0.0</v>
      </c>
      <c r="G423" s="79" t="s">
        <v>126</v>
      </c>
      <c r="H423" s="68"/>
      <c r="I423" s="68"/>
    </row>
    <row r="424" ht="14.25" customHeight="1">
      <c r="A424" s="80">
        <v>46101.0</v>
      </c>
      <c r="B424" s="65">
        <v>23.0</v>
      </c>
      <c r="C424" s="77" t="s">
        <v>133</v>
      </c>
      <c r="D424" s="79" t="s">
        <v>125</v>
      </c>
      <c r="E424" s="65">
        <v>0.0</v>
      </c>
      <c r="F424" s="65">
        <v>0.0</v>
      </c>
      <c r="G424" s="78" t="s">
        <v>131</v>
      </c>
      <c r="H424" s="68"/>
      <c r="I424" s="65">
        <v>5.0</v>
      </c>
    </row>
    <row r="425" ht="14.25" customHeight="1">
      <c r="A425" s="80">
        <v>46101.0</v>
      </c>
      <c r="B425" s="65">
        <v>23.0</v>
      </c>
      <c r="C425" s="77" t="s">
        <v>26</v>
      </c>
      <c r="D425" s="79" t="s">
        <v>125</v>
      </c>
      <c r="E425" s="65">
        <v>1.0</v>
      </c>
      <c r="F425" s="65">
        <v>1.0</v>
      </c>
      <c r="G425" s="78" t="s">
        <v>131</v>
      </c>
      <c r="H425" s="79" t="s">
        <v>128</v>
      </c>
      <c r="I425" s="68"/>
    </row>
    <row r="426" ht="14.25" customHeight="1">
      <c r="A426" s="80">
        <v>46101.0</v>
      </c>
      <c r="B426" s="65">
        <v>23.0</v>
      </c>
      <c r="C426" s="77" t="s">
        <v>140</v>
      </c>
      <c r="D426" s="79" t="s">
        <v>125</v>
      </c>
      <c r="E426" s="65">
        <v>3.0</v>
      </c>
      <c r="F426" s="65">
        <v>1.0</v>
      </c>
      <c r="G426" s="78" t="s">
        <v>131</v>
      </c>
      <c r="H426" s="68"/>
      <c r="I426" s="68"/>
    </row>
    <row r="427" ht="14.25" customHeight="1">
      <c r="A427" s="80">
        <v>46101.0</v>
      </c>
      <c r="B427" s="65">
        <v>23.0</v>
      </c>
      <c r="C427" s="77" t="s">
        <v>36</v>
      </c>
      <c r="D427" s="79" t="s">
        <v>125</v>
      </c>
      <c r="E427" s="65">
        <v>0.0</v>
      </c>
      <c r="F427" s="65">
        <v>0.0</v>
      </c>
      <c r="G427" s="78" t="s">
        <v>131</v>
      </c>
      <c r="H427" s="68"/>
      <c r="I427" s="68"/>
    </row>
    <row r="428" ht="14.25" customHeight="1">
      <c r="A428" s="80">
        <v>46101.0</v>
      </c>
      <c r="B428" s="65">
        <v>23.0</v>
      </c>
      <c r="C428" s="77" t="s">
        <v>49</v>
      </c>
      <c r="D428" s="79" t="s">
        <v>125</v>
      </c>
      <c r="E428" s="65">
        <v>0.0</v>
      </c>
      <c r="F428" s="65">
        <v>0.0</v>
      </c>
      <c r="G428" s="78" t="s">
        <v>131</v>
      </c>
      <c r="H428" s="68"/>
      <c r="I428" s="68"/>
    </row>
    <row r="429" ht="14.25" customHeight="1">
      <c r="A429" s="80">
        <v>46101.0</v>
      </c>
      <c r="B429" s="65">
        <v>23.0</v>
      </c>
      <c r="C429" s="77" t="s">
        <v>25</v>
      </c>
      <c r="D429" s="79" t="s">
        <v>125</v>
      </c>
      <c r="E429" s="65">
        <v>0.0</v>
      </c>
      <c r="F429" s="65">
        <v>0.0</v>
      </c>
      <c r="G429" s="78" t="s">
        <v>131</v>
      </c>
      <c r="H429" s="68"/>
      <c r="I429" s="68"/>
    </row>
    <row r="430" ht="14.25" customHeight="1">
      <c r="A430" s="80">
        <v>46101.0</v>
      </c>
      <c r="B430" s="65">
        <v>23.0</v>
      </c>
      <c r="C430" s="77" t="s">
        <v>142</v>
      </c>
      <c r="D430" s="79" t="s">
        <v>125</v>
      </c>
      <c r="E430" s="65">
        <v>0.0</v>
      </c>
      <c r="F430" s="65">
        <v>0.0</v>
      </c>
      <c r="G430" s="78" t="s">
        <v>131</v>
      </c>
      <c r="H430" s="68"/>
      <c r="I430" s="68"/>
    </row>
    <row r="431" ht="14.25" customHeight="1">
      <c r="A431" s="80">
        <v>46101.0</v>
      </c>
      <c r="B431" s="65">
        <v>23.0</v>
      </c>
      <c r="C431" s="77" t="s">
        <v>30</v>
      </c>
      <c r="D431" s="79" t="s">
        <v>125</v>
      </c>
      <c r="E431" s="65">
        <v>0.0</v>
      </c>
      <c r="F431" s="65">
        <v>0.0</v>
      </c>
      <c r="G431" s="78" t="s">
        <v>131</v>
      </c>
      <c r="H431" s="68"/>
      <c r="I431" s="68"/>
    </row>
    <row r="432" ht="14.25" customHeight="1">
      <c r="A432" s="80">
        <v>46101.0</v>
      </c>
      <c r="B432" s="65">
        <v>23.0</v>
      </c>
      <c r="C432" s="77" t="s">
        <v>24</v>
      </c>
      <c r="D432" s="79" t="s">
        <v>125</v>
      </c>
      <c r="E432" s="65">
        <v>0.0</v>
      </c>
      <c r="F432" s="65">
        <v>1.0</v>
      </c>
      <c r="G432" s="78" t="s">
        <v>131</v>
      </c>
      <c r="H432" s="68"/>
      <c r="I432" s="68"/>
    </row>
    <row r="433" ht="14.25" customHeight="1">
      <c r="A433" s="80">
        <v>46101.0</v>
      </c>
      <c r="B433" s="65">
        <v>23.0</v>
      </c>
      <c r="C433" s="77" t="s">
        <v>46</v>
      </c>
      <c r="D433" s="79" t="s">
        <v>130</v>
      </c>
      <c r="E433" s="65">
        <v>0.0</v>
      </c>
      <c r="F433" s="65">
        <v>0.0</v>
      </c>
      <c r="G433" s="78" t="s">
        <v>126</v>
      </c>
      <c r="H433" s="68"/>
      <c r="I433" s="65">
        <v>4.0</v>
      </c>
    </row>
    <row r="434" ht="14.25" customHeight="1">
      <c r="A434" s="80">
        <v>46101.0</v>
      </c>
      <c r="B434" s="65">
        <v>23.0</v>
      </c>
      <c r="C434" s="77" t="s">
        <v>28</v>
      </c>
      <c r="D434" s="79" t="s">
        <v>130</v>
      </c>
      <c r="E434" s="65">
        <v>1.0</v>
      </c>
      <c r="F434" s="65">
        <v>0.0</v>
      </c>
      <c r="G434" s="78" t="s">
        <v>126</v>
      </c>
      <c r="H434" s="68"/>
      <c r="I434" s="68"/>
    </row>
    <row r="435" ht="14.25" customHeight="1">
      <c r="A435" s="80">
        <v>46101.0</v>
      </c>
      <c r="B435" s="65">
        <v>23.0</v>
      </c>
      <c r="C435" s="77" t="s">
        <v>18</v>
      </c>
      <c r="D435" s="79" t="s">
        <v>130</v>
      </c>
      <c r="E435" s="65">
        <v>4.0</v>
      </c>
      <c r="F435" s="65">
        <v>1.0</v>
      </c>
      <c r="G435" s="78" t="s">
        <v>126</v>
      </c>
      <c r="H435" s="79" t="s">
        <v>128</v>
      </c>
      <c r="I435" s="68"/>
    </row>
    <row r="436" ht="14.25" customHeight="1">
      <c r="A436" s="80">
        <v>46101.0</v>
      </c>
      <c r="B436" s="65">
        <v>23.0</v>
      </c>
      <c r="C436" s="77" t="s">
        <v>19</v>
      </c>
      <c r="D436" s="79" t="s">
        <v>130</v>
      </c>
      <c r="E436" s="65">
        <v>0.0</v>
      </c>
      <c r="F436" s="65">
        <v>2.0</v>
      </c>
      <c r="G436" s="78" t="s">
        <v>126</v>
      </c>
      <c r="H436" s="68"/>
      <c r="I436" s="68"/>
    </row>
    <row r="437" ht="14.25" customHeight="1">
      <c r="A437" s="80">
        <v>46101.0</v>
      </c>
      <c r="B437" s="65">
        <v>23.0</v>
      </c>
      <c r="C437" s="77" t="s">
        <v>23</v>
      </c>
      <c r="D437" s="79" t="s">
        <v>130</v>
      </c>
      <c r="E437" s="65">
        <v>0.0</v>
      </c>
      <c r="F437" s="65">
        <v>1.0</v>
      </c>
      <c r="G437" s="78" t="s">
        <v>126</v>
      </c>
      <c r="H437" s="68"/>
      <c r="I437" s="68"/>
    </row>
    <row r="438" ht="14.25" customHeight="1">
      <c r="A438" s="80">
        <v>46101.0</v>
      </c>
      <c r="B438" s="65">
        <v>23.0</v>
      </c>
      <c r="C438" s="77" t="s">
        <v>34</v>
      </c>
      <c r="D438" s="79" t="s">
        <v>130</v>
      </c>
      <c r="E438" s="65">
        <v>0.0</v>
      </c>
      <c r="F438" s="65">
        <v>1.0</v>
      </c>
      <c r="G438" s="78" t="s">
        <v>126</v>
      </c>
      <c r="H438" s="68"/>
      <c r="I438" s="68"/>
    </row>
    <row r="439" ht="14.25" customHeight="1">
      <c r="A439" s="80">
        <v>46101.0</v>
      </c>
      <c r="B439" s="65">
        <v>23.0</v>
      </c>
      <c r="C439" s="77" t="s">
        <v>127</v>
      </c>
      <c r="D439" s="79" t="s">
        <v>130</v>
      </c>
      <c r="E439" s="65">
        <v>0.0</v>
      </c>
      <c r="F439" s="65">
        <v>0.0</v>
      </c>
      <c r="G439" s="78" t="s">
        <v>126</v>
      </c>
      <c r="H439" s="68"/>
      <c r="I439" s="68"/>
    </row>
    <row r="440" ht="14.25" customHeight="1">
      <c r="A440" s="80">
        <v>46101.0</v>
      </c>
      <c r="B440" s="65">
        <v>23.0</v>
      </c>
      <c r="C440" s="77" t="s">
        <v>37</v>
      </c>
      <c r="D440" s="79" t="s">
        <v>130</v>
      </c>
      <c r="E440" s="65">
        <v>0.0</v>
      </c>
      <c r="F440" s="65">
        <v>0.0</v>
      </c>
      <c r="G440" s="78" t="s">
        <v>126</v>
      </c>
      <c r="H440" s="68"/>
      <c r="I440" s="68"/>
    </row>
    <row r="441" ht="14.25" customHeight="1">
      <c r="A441" s="80">
        <v>46101.0</v>
      </c>
      <c r="B441" s="65">
        <v>23.0</v>
      </c>
      <c r="C441" s="79" t="s">
        <v>17</v>
      </c>
      <c r="D441" s="79" t="s">
        <v>130</v>
      </c>
      <c r="E441" s="65">
        <v>0.0</v>
      </c>
      <c r="F441" s="65">
        <v>0.0</v>
      </c>
      <c r="G441" s="78" t="s">
        <v>126</v>
      </c>
      <c r="H441" s="68"/>
      <c r="I441" s="68"/>
    </row>
    <row r="442" ht="14.25" customHeight="1">
      <c r="A442" s="80">
        <v>46105.0</v>
      </c>
      <c r="B442" s="65">
        <v>24.0</v>
      </c>
      <c r="C442" s="77" t="s">
        <v>133</v>
      </c>
      <c r="D442" s="79" t="s">
        <v>125</v>
      </c>
      <c r="E442" s="65">
        <v>0.0</v>
      </c>
      <c r="F442" s="65">
        <v>0.0</v>
      </c>
      <c r="G442" s="79" t="s">
        <v>131</v>
      </c>
      <c r="H442" s="68"/>
      <c r="I442" s="65">
        <v>2.0</v>
      </c>
    </row>
    <row r="443" ht="14.25" customHeight="1">
      <c r="A443" s="80">
        <v>46105.0</v>
      </c>
      <c r="B443" s="65">
        <v>24.0</v>
      </c>
      <c r="C443" s="77" t="s">
        <v>17</v>
      </c>
      <c r="D443" s="79" t="s">
        <v>125</v>
      </c>
      <c r="E443" s="65">
        <v>1.0</v>
      </c>
      <c r="F443" s="65">
        <v>0.0</v>
      </c>
      <c r="G443" s="79" t="s">
        <v>131</v>
      </c>
      <c r="H443" s="68"/>
      <c r="I443" s="68"/>
    </row>
    <row r="444" ht="14.25" customHeight="1">
      <c r="A444" s="80">
        <v>46105.0</v>
      </c>
      <c r="B444" s="65">
        <v>24.0</v>
      </c>
      <c r="C444" s="77" t="s">
        <v>25</v>
      </c>
      <c r="D444" s="79" t="s">
        <v>125</v>
      </c>
      <c r="E444" s="65">
        <v>0.0</v>
      </c>
      <c r="F444" s="65">
        <v>1.0</v>
      </c>
      <c r="G444" s="79" t="s">
        <v>131</v>
      </c>
      <c r="H444" s="68"/>
      <c r="I444" s="68"/>
    </row>
    <row r="445" ht="14.25" customHeight="1">
      <c r="A445" s="80">
        <v>46105.0</v>
      </c>
      <c r="B445" s="65">
        <v>24.0</v>
      </c>
      <c r="C445" s="77" t="s">
        <v>36</v>
      </c>
      <c r="D445" s="79" t="s">
        <v>125</v>
      </c>
      <c r="E445" s="65">
        <v>0.0</v>
      </c>
      <c r="F445" s="65">
        <v>0.0</v>
      </c>
      <c r="G445" s="79" t="s">
        <v>131</v>
      </c>
      <c r="H445" s="68"/>
      <c r="I445" s="68"/>
    </row>
    <row r="446" ht="14.25" customHeight="1">
      <c r="A446" s="80">
        <v>46105.0</v>
      </c>
      <c r="B446" s="65">
        <v>24.0</v>
      </c>
      <c r="C446" s="77" t="s">
        <v>23</v>
      </c>
      <c r="D446" s="79" t="s">
        <v>125</v>
      </c>
      <c r="E446" s="65">
        <v>0.0</v>
      </c>
      <c r="F446" s="65">
        <v>0.0</v>
      </c>
      <c r="G446" s="79" t="s">
        <v>131</v>
      </c>
      <c r="H446" s="68"/>
      <c r="I446" s="68"/>
    </row>
    <row r="447" ht="14.25" customHeight="1">
      <c r="A447" s="80">
        <v>46105.0</v>
      </c>
      <c r="B447" s="65">
        <v>24.0</v>
      </c>
      <c r="C447" s="77" t="s">
        <v>37</v>
      </c>
      <c r="D447" s="79" t="s">
        <v>125</v>
      </c>
      <c r="E447" s="65">
        <v>0.0</v>
      </c>
      <c r="F447" s="65">
        <v>0.0</v>
      </c>
      <c r="G447" s="79" t="s">
        <v>131</v>
      </c>
      <c r="H447" s="79" t="s">
        <v>128</v>
      </c>
      <c r="I447" s="68"/>
    </row>
    <row r="448" ht="14.25" customHeight="1">
      <c r="A448" s="80">
        <v>46105.0</v>
      </c>
      <c r="B448" s="65">
        <v>24.0</v>
      </c>
      <c r="C448" s="77" t="s">
        <v>16</v>
      </c>
      <c r="D448" s="79" t="s">
        <v>125</v>
      </c>
      <c r="E448" s="65">
        <v>0.0</v>
      </c>
      <c r="F448" s="65">
        <v>0.0</v>
      </c>
      <c r="G448" s="79" t="s">
        <v>131</v>
      </c>
      <c r="H448" s="68"/>
      <c r="I448" s="68"/>
    </row>
    <row r="449" ht="14.25" customHeight="1">
      <c r="A449" s="80">
        <v>46105.0</v>
      </c>
      <c r="B449" s="65">
        <v>24.0</v>
      </c>
      <c r="C449" s="77" t="s">
        <v>31</v>
      </c>
      <c r="D449" s="79" t="s">
        <v>125</v>
      </c>
      <c r="E449" s="65">
        <v>0.0</v>
      </c>
      <c r="F449" s="65">
        <v>0.0</v>
      </c>
      <c r="G449" s="79" t="s">
        <v>131</v>
      </c>
      <c r="H449" s="68"/>
      <c r="I449" s="68"/>
    </row>
    <row r="450" ht="14.25" customHeight="1">
      <c r="A450" s="80">
        <v>46105.0</v>
      </c>
      <c r="B450" s="65">
        <v>24.0</v>
      </c>
      <c r="C450" s="77" t="s">
        <v>19</v>
      </c>
      <c r="D450" s="79" t="s">
        <v>125</v>
      </c>
      <c r="E450" s="65">
        <v>0.0</v>
      </c>
      <c r="F450" s="65">
        <v>0.0</v>
      </c>
      <c r="G450" s="79" t="s">
        <v>131</v>
      </c>
      <c r="H450" s="68"/>
      <c r="I450" s="68"/>
    </row>
    <row r="451" ht="14.25" customHeight="1">
      <c r="A451" s="80">
        <v>46105.0</v>
      </c>
      <c r="B451" s="65">
        <v>24.0</v>
      </c>
      <c r="C451" s="77" t="s">
        <v>24</v>
      </c>
      <c r="D451" s="79" t="s">
        <v>125</v>
      </c>
      <c r="E451" s="65">
        <v>0.0</v>
      </c>
      <c r="F451" s="65">
        <v>0.0</v>
      </c>
      <c r="G451" s="79" t="s">
        <v>131</v>
      </c>
      <c r="H451" s="68"/>
      <c r="I451" s="68"/>
    </row>
    <row r="452" ht="14.25" customHeight="1">
      <c r="A452" s="80">
        <v>46105.0</v>
      </c>
      <c r="B452" s="65">
        <v>24.0</v>
      </c>
      <c r="C452" s="77" t="s">
        <v>134</v>
      </c>
      <c r="D452" s="79" t="s">
        <v>130</v>
      </c>
      <c r="E452" s="65">
        <v>0.0</v>
      </c>
      <c r="F452" s="65">
        <v>0.0</v>
      </c>
      <c r="G452" s="79" t="s">
        <v>126</v>
      </c>
      <c r="H452" s="79" t="s">
        <v>128</v>
      </c>
      <c r="I452" s="65">
        <v>1.0</v>
      </c>
    </row>
    <row r="453" ht="14.25" customHeight="1">
      <c r="A453" s="80">
        <v>46105.0</v>
      </c>
      <c r="B453" s="65">
        <v>24.0</v>
      </c>
      <c r="C453" s="77" t="s">
        <v>21</v>
      </c>
      <c r="D453" s="79" t="s">
        <v>130</v>
      </c>
      <c r="E453" s="65">
        <v>2.0</v>
      </c>
      <c r="F453" s="65">
        <v>0.0</v>
      </c>
      <c r="G453" s="79" t="s">
        <v>126</v>
      </c>
      <c r="H453" s="68"/>
      <c r="I453" s="68"/>
    </row>
    <row r="454" ht="14.25" customHeight="1">
      <c r="A454" s="80">
        <v>46105.0</v>
      </c>
      <c r="B454" s="65">
        <v>24.0</v>
      </c>
      <c r="C454" s="77" t="s">
        <v>140</v>
      </c>
      <c r="D454" s="79" t="s">
        <v>130</v>
      </c>
      <c r="E454" s="65">
        <v>0.0</v>
      </c>
      <c r="F454" s="65">
        <v>1.0</v>
      </c>
      <c r="G454" s="79" t="s">
        <v>126</v>
      </c>
      <c r="H454" s="68"/>
      <c r="I454" s="68"/>
    </row>
    <row r="455" ht="14.25" customHeight="1">
      <c r="A455" s="80">
        <v>46105.0</v>
      </c>
      <c r="B455" s="65">
        <v>24.0</v>
      </c>
      <c r="C455" s="77" t="s">
        <v>127</v>
      </c>
      <c r="D455" s="79" t="s">
        <v>130</v>
      </c>
      <c r="E455" s="65">
        <v>0.0</v>
      </c>
      <c r="F455" s="65">
        <v>0.0</v>
      </c>
      <c r="G455" s="79" t="s">
        <v>126</v>
      </c>
      <c r="H455" s="68"/>
      <c r="I455" s="68"/>
    </row>
    <row r="456" ht="14.25" customHeight="1">
      <c r="A456" s="80">
        <v>46105.0</v>
      </c>
      <c r="B456" s="65">
        <v>24.0</v>
      </c>
      <c r="C456" s="77" t="s">
        <v>26</v>
      </c>
      <c r="D456" s="79" t="s">
        <v>130</v>
      </c>
      <c r="E456" s="65">
        <v>0.0</v>
      </c>
      <c r="F456" s="65">
        <v>0.0</v>
      </c>
      <c r="G456" s="79" t="s">
        <v>126</v>
      </c>
      <c r="H456" s="68"/>
      <c r="I456" s="68"/>
    </row>
    <row r="457" ht="14.25" customHeight="1">
      <c r="A457" s="80">
        <v>46105.0</v>
      </c>
      <c r="B457" s="65">
        <v>24.0</v>
      </c>
      <c r="C457" s="77" t="s">
        <v>62</v>
      </c>
      <c r="D457" s="79" t="s">
        <v>130</v>
      </c>
      <c r="E457" s="65">
        <v>0.0</v>
      </c>
      <c r="F457" s="65">
        <v>0.0</v>
      </c>
      <c r="G457" s="79" t="s">
        <v>126</v>
      </c>
      <c r="H457" s="68"/>
      <c r="I457" s="68"/>
    </row>
    <row r="458" ht="14.25" customHeight="1">
      <c r="A458" s="80">
        <v>46105.0</v>
      </c>
      <c r="B458" s="65">
        <v>24.0</v>
      </c>
      <c r="C458" s="77" t="s">
        <v>18</v>
      </c>
      <c r="D458" s="79" t="s">
        <v>130</v>
      </c>
      <c r="E458" s="65">
        <v>0.0</v>
      </c>
      <c r="F458" s="65">
        <v>0.0</v>
      </c>
      <c r="G458" s="79" t="s">
        <v>126</v>
      </c>
      <c r="H458" s="68"/>
      <c r="I458" s="68"/>
    </row>
    <row r="459" ht="14.25" customHeight="1">
      <c r="A459" s="80">
        <v>46105.0</v>
      </c>
      <c r="B459" s="65">
        <v>24.0</v>
      </c>
      <c r="C459" s="77" t="s">
        <v>29</v>
      </c>
      <c r="D459" s="79" t="s">
        <v>130</v>
      </c>
      <c r="E459" s="65">
        <v>0.0</v>
      </c>
      <c r="F459" s="65">
        <v>0.0</v>
      </c>
      <c r="G459" s="79" t="s">
        <v>126</v>
      </c>
      <c r="H459" s="68"/>
      <c r="I459" s="68"/>
    </row>
    <row r="460" ht="14.25" customHeight="1">
      <c r="A460" s="80">
        <v>46105.0</v>
      </c>
      <c r="B460" s="65">
        <v>24.0</v>
      </c>
      <c r="C460" s="77" t="s">
        <v>30</v>
      </c>
      <c r="D460" s="79" t="s">
        <v>130</v>
      </c>
      <c r="E460" s="65">
        <v>0.0</v>
      </c>
      <c r="F460" s="65">
        <v>0.0</v>
      </c>
      <c r="G460" s="79" t="s">
        <v>126</v>
      </c>
      <c r="H460" s="68"/>
      <c r="I460" s="68"/>
    </row>
    <row r="461" ht="14.25" customHeight="1">
      <c r="A461" s="80">
        <v>46105.0</v>
      </c>
      <c r="B461" s="65">
        <v>24.0</v>
      </c>
      <c r="C461" s="77" t="s">
        <v>28</v>
      </c>
      <c r="D461" s="79" t="s">
        <v>130</v>
      </c>
      <c r="E461" s="65">
        <v>0.0</v>
      </c>
      <c r="F461" s="65">
        <v>0.0</v>
      </c>
      <c r="G461" s="79" t="s">
        <v>126</v>
      </c>
      <c r="H461" s="68"/>
      <c r="I461" s="68"/>
    </row>
    <row r="462" ht="14.25" customHeight="1">
      <c r="A462" s="80">
        <v>46108.0</v>
      </c>
      <c r="B462" s="65">
        <v>25.0</v>
      </c>
      <c r="C462" s="77" t="s">
        <v>53</v>
      </c>
      <c r="D462" s="79" t="s">
        <v>130</v>
      </c>
      <c r="E462" s="65">
        <v>0.0</v>
      </c>
      <c r="F462" s="65">
        <v>0.0</v>
      </c>
      <c r="G462" s="79" t="s">
        <v>131</v>
      </c>
      <c r="H462" s="68"/>
      <c r="I462" s="65">
        <v>4.0</v>
      </c>
    </row>
    <row r="463" ht="14.25" customHeight="1">
      <c r="A463" s="80">
        <v>46108.0</v>
      </c>
      <c r="B463" s="65">
        <v>25.0</v>
      </c>
      <c r="C463" s="77" t="s">
        <v>35</v>
      </c>
      <c r="D463" s="79" t="s">
        <v>130</v>
      </c>
      <c r="E463" s="65">
        <v>1.0</v>
      </c>
      <c r="F463" s="65">
        <v>0.0</v>
      </c>
      <c r="G463" s="79" t="s">
        <v>131</v>
      </c>
      <c r="H463" s="68"/>
      <c r="I463" s="68"/>
    </row>
    <row r="464" ht="14.25" customHeight="1">
      <c r="A464" s="80">
        <v>46108.0</v>
      </c>
      <c r="B464" s="65">
        <v>25.0</v>
      </c>
      <c r="C464" s="77" t="s">
        <v>36</v>
      </c>
      <c r="D464" s="79" t="s">
        <v>130</v>
      </c>
      <c r="E464" s="65">
        <v>0.0</v>
      </c>
      <c r="F464" s="65">
        <v>0.0</v>
      </c>
      <c r="G464" s="79" t="s">
        <v>131</v>
      </c>
      <c r="H464" s="68"/>
      <c r="I464" s="68"/>
    </row>
    <row r="465" ht="14.25" customHeight="1">
      <c r="A465" s="80">
        <v>46108.0</v>
      </c>
      <c r="B465" s="65">
        <v>25.0</v>
      </c>
      <c r="C465" s="77" t="s">
        <v>31</v>
      </c>
      <c r="D465" s="79" t="s">
        <v>130</v>
      </c>
      <c r="E465" s="65">
        <v>0.0</v>
      </c>
      <c r="F465" s="65">
        <v>0.0</v>
      </c>
      <c r="G465" s="79" t="s">
        <v>131</v>
      </c>
      <c r="H465" s="68"/>
      <c r="I465" s="68"/>
    </row>
    <row r="466" ht="14.25" customHeight="1">
      <c r="A466" s="80">
        <v>46108.0</v>
      </c>
      <c r="B466" s="65">
        <v>25.0</v>
      </c>
      <c r="C466" s="77" t="s">
        <v>37</v>
      </c>
      <c r="D466" s="79" t="s">
        <v>130</v>
      </c>
      <c r="E466" s="65">
        <v>0.0</v>
      </c>
      <c r="F466" s="65">
        <v>0.0</v>
      </c>
      <c r="G466" s="79" t="s">
        <v>131</v>
      </c>
      <c r="H466" s="68"/>
      <c r="I466" s="68"/>
    </row>
    <row r="467" ht="14.25" customHeight="1">
      <c r="A467" s="80">
        <v>46108.0</v>
      </c>
      <c r="B467" s="65">
        <v>25.0</v>
      </c>
      <c r="C467" s="77" t="s">
        <v>39</v>
      </c>
      <c r="D467" s="79" t="s">
        <v>130</v>
      </c>
      <c r="E467" s="65">
        <v>0.0</v>
      </c>
      <c r="F467" s="65">
        <v>0.0</v>
      </c>
      <c r="G467" s="79" t="s">
        <v>131</v>
      </c>
      <c r="H467" s="68"/>
      <c r="I467" s="68"/>
    </row>
    <row r="468" ht="14.25" customHeight="1">
      <c r="A468" s="80">
        <v>46108.0</v>
      </c>
      <c r="B468" s="65">
        <v>25.0</v>
      </c>
      <c r="C468" s="77" t="s">
        <v>30</v>
      </c>
      <c r="D468" s="79" t="s">
        <v>130</v>
      </c>
      <c r="E468" s="65">
        <v>0.0</v>
      </c>
      <c r="F468" s="65">
        <v>0.0</v>
      </c>
      <c r="G468" s="79" t="s">
        <v>131</v>
      </c>
      <c r="H468" s="68"/>
      <c r="I468" s="68"/>
    </row>
    <row r="469" ht="14.25" customHeight="1">
      <c r="A469" s="80">
        <v>46108.0</v>
      </c>
      <c r="B469" s="65">
        <v>25.0</v>
      </c>
      <c r="C469" s="77" t="s">
        <v>143</v>
      </c>
      <c r="D469" s="79" t="s">
        <v>130</v>
      </c>
      <c r="E469" s="65">
        <v>0.0</v>
      </c>
      <c r="F469" s="65">
        <v>0.0</v>
      </c>
      <c r="G469" s="79" t="s">
        <v>131</v>
      </c>
      <c r="H469" s="68"/>
      <c r="I469" s="68"/>
    </row>
    <row r="470" ht="14.25" customHeight="1">
      <c r="A470" s="80">
        <v>46108.0</v>
      </c>
      <c r="B470" s="65">
        <v>25.0</v>
      </c>
      <c r="C470" s="77" t="s">
        <v>24</v>
      </c>
      <c r="D470" s="79" t="s">
        <v>130</v>
      </c>
      <c r="E470" s="65">
        <v>0.0</v>
      </c>
      <c r="F470" s="65">
        <v>0.0</v>
      </c>
      <c r="G470" s="79" t="s">
        <v>131</v>
      </c>
      <c r="H470" s="79" t="s">
        <v>128</v>
      </c>
      <c r="I470" s="68"/>
    </row>
    <row r="471" ht="14.25" customHeight="1">
      <c r="A471" s="80">
        <v>46108.0</v>
      </c>
      <c r="B471" s="65">
        <v>25.0</v>
      </c>
      <c r="C471" s="77" t="s">
        <v>134</v>
      </c>
      <c r="D471" s="79" t="s">
        <v>125</v>
      </c>
      <c r="E471" s="65">
        <v>0.0</v>
      </c>
      <c r="F471" s="65">
        <v>0.0</v>
      </c>
      <c r="G471" s="79" t="s">
        <v>126</v>
      </c>
      <c r="H471" s="68"/>
      <c r="I471" s="65">
        <v>1.0</v>
      </c>
    </row>
    <row r="472" ht="14.25" customHeight="1">
      <c r="A472" s="80">
        <v>46108.0</v>
      </c>
      <c r="B472" s="65">
        <v>25.0</v>
      </c>
      <c r="C472" s="77" t="s">
        <v>18</v>
      </c>
      <c r="D472" s="79" t="s">
        <v>125</v>
      </c>
      <c r="E472" s="65">
        <v>2.0</v>
      </c>
      <c r="F472" s="65">
        <v>0.0</v>
      </c>
      <c r="G472" s="79" t="s">
        <v>126</v>
      </c>
      <c r="H472" s="68"/>
      <c r="I472" s="68"/>
    </row>
    <row r="473" ht="14.25" customHeight="1">
      <c r="A473" s="80">
        <v>46108.0</v>
      </c>
      <c r="B473" s="65">
        <v>25.0</v>
      </c>
      <c r="C473" s="77" t="s">
        <v>34</v>
      </c>
      <c r="D473" s="79" t="s">
        <v>125</v>
      </c>
      <c r="E473" s="65">
        <v>1.0</v>
      </c>
      <c r="F473" s="65">
        <v>2.0</v>
      </c>
      <c r="G473" s="79" t="s">
        <v>126</v>
      </c>
      <c r="H473" s="68"/>
      <c r="I473" s="68"/>
    </row>
    <row r="474" ht="14.25" customHeight="1">
      <c r="A474" s="80">
        <v>46108.0</v>
      </c>
      <c r="B474" s="65">
        <v>25.0</v>
      </c>
      <c r="C474" s="77" t="s">
        <v>16</v>
      </c>
      <c r="D474" s="79" t="s">
        <v>125</v>
      </c>
      <c r="E474" s="65">
        <v>1.0</v>
      </c>
      <c r="F474" s="65">
        <v>1.0</v>
      </c>
      <c r="G474" s="79" t="s">
        <v>126</v>
      </c>
      <c r="H474" s="79" t="s">
        <v>128</v>
      </c>
      <c r="I474" s="68"/>
    </row>
    <row r="475" ht="14.25" customHeight="1">
      <c r="A475" s="80">
        <v>46108.0</v>
      </c>
      <c r="B475" s="65">
        <v>25.0</v>
      </c>
      <c r="C475" s="77" t="s">
        <v>17</v>
      </c>
      <c r="D475" s="79" t="s">
        <v>125</v>
      </c>
      <c r="E475" s="65">
        <v>0.0</v>
      </c>
      <c r="F475" s="65">
        <v>0.0</v>
      </c>
      <c r="G475" s="79" t="s">
        <v>126</v>
      </c>
      <c r="H475" s="68"/>
      <c r="I475" s="68"/>
    </row>
    <row r="476" ht="14.25" customHeight="1">
      <c r="A476" s="80">
        <v>46108.0</v>
      </c>
      <c r="B476" s="65">
        <v>25.0</v>
      </c>
      <c r="C476" s="77" t="s">
        <v>26</v>
      </c>
      <c r="D476" s="79" t="s">
        <v>125</v>
      </c>
      <c r="E476" s="65">
        <v>0.0</v>
      </c>
      <c r="F476" s="65">
        <v>0.0</v>
      </c>
      <c r="G476" s="79" t="s">
        <v>126</v>
      </c>
      <c r="H476" s="68"/>
      <c r="I476" s="68"/>
    </row>
    <row r="477" ht="14.25" customHeight="1">
      <c r="A477" s="80">
        <v>46108.0</v>
      </c>
      <c r="B477" s="65">
        <v>25.0</v>
      </c>
      <c r="C477" s="77" t="s">
        <v>32</v>
      </c>
      <c r="D477" s="79" t="s">
        <v>125</v>
      </c>
      <c r="E477" s="65">
        <v>0.0</v>
      </c>
      <c r="F477" s="65">
        <v>0.0</v>
      </c>
      <c r="G477" s="79" t="s">
        <v>126</v>
      </c>
      <c r="H477" s="68"/>
      <c r="I477" s="68"/>
    </row>
    <row r="478" ht="14.25" customHeight="1">
      <c r="A478" s="80">
        <v>46108.0</v>
      </c>
      <c r="B478" s="65">
        <v>25.0</v>
      </c>
      <c r="C478" s="77" t="s">
        <v>51</v>
      </c>
      <c r="D478" s="79" t="s">
        <v>125</v>
      </c>
      <c r="E478" s="65">
        <v>0.0</v>
      </c>
      <c r="F478" s="65">
        <v>0.0</v>
      </c>
      <c r="G478" s="79" t="s">
        <v>126</v>
      </c>
      <c r="H478" s="68"/>
      <c r="I478" s="68"/>
    </row>
    <row r="479" ht="14.25" customHeight="1">
      <c r="A479" s="80">
        <v>46108.0</v>
      </c>
      <c r="B479" s="65">
        <v>25.0</v>
      </c>
      <c r="C479" s="77" t="s">
        <v>28</v>
      </c>
      <c r="D479" s="79" t="s">
        <v>125</v>
      </c>
      <c r="E479" s="65">
        <v>0.0</v>
      </c>
      <c r="F479" s="65">
        <v>0.0</v>
      </c>
      <c r="G479" s="79" t="s">
        <v>126</v>
      </c>
      <c r="H479" s="68"/>
      <c r="I479" s="68"/>
    </row>
    <row r="480" ht="14.25" customHeight="1">
      <c r="A480" s="80">
        <v>46112.0</v>
      </c>
      <c r="B480" s="65">
        <v>26.0</v>
      </c>
      <c r="C480" s="81" t="s">
        <v>57</v>
      </c>
      <c r="D480" s="79" t="s">
        <v>130</v>
      </c>
      <c r="E480" s="65">
        <v>0.0</v>
      </c>
      <c r="F480" s="65">
        <v>0.0</v>
      </c>
      <c r="G480" s="79" t="s">
        <v>131</v>
      </c>
      <c r="H480" s="68"/>
      <c r="I480" s="79">
        <v>7.0</v>
      </c>
      <c r="J480" s="65"/>
    </row>
    <row r="481" ht="14.25" customHeight="1">
      <c r="A481" s="80">
        <v>46112.0</v>
      </c>
      <c r="B481" s="65">
        <v>26.0</v>
      </c>
      <c r="C481" s="81" t="s">
        <v>21</v>
      </c>
      <c r="D481" s="79" t="s">
        <v>130</v>
      </c>
      <c r="E481" s="65">
        <v>1.0</v>
      </c>
      <c r="F481" s="65">
        <v>0.0</v>
      </c>
      <c r="G481" s="79" t="s">
        <v>131</v>
      </c>
      <c r="H481" s="68"/>
      <c r="I481" s="68"/>
      <c r="J481" s="68"/>
    </row>
    <row r="482" ht="14.25" customHeight="1">
      <c r="A482" s="80">
        <v>46112.0</v>
      </c>
      <c r="B482" s="65">
        <v>26.0</v>
      </c>
      <c r="C482" s="81" t="s">
        <v>34</v>
      </c>
      <c r="D482" s="79" t="s">
        <v>130</v>
      </c>
      <c r="E482" s="65">
        <v>0.0</v>
      </c>
      <c r="F482" s="65">
        <v>1.0</v>
      </c>
      <c r="G482" s="79" t="s">
        <v>131</v>
      </c>
      <c r="H482" s="68"/>
      <c r="I482" s="68"/>
      <c r="J482" s="68"/>
    </row>
    <row r="483" ht="14.25" customHeight="1">
      <c r="A483" s="80">
        <v>46112.0</v>
      </c>
      <c r="B483" s="65">
        <v>26.0</v>
      </c>
      <c r="C483" s="81" t="s">
        <v>127</v>
      </c>
      <c r="D483" s="79" t="s">
        <v>130</v>
      </c>
      <c r="E483" s="65">
        <v>0.0</v>
      </c>
      <c r="F483" s="65">
        <v>0.0</v>
      </c>
      <c r="G483" s="79" t="s">
        <v>131</v>
      </c>
      <c r="H483" s="68"/>
      <c r="I483" s="68"/>
      <c r="J483" s="68"/>
    </row>
    <row r="484" ht="14.25" customHeight="1">
      <c r="A484" s="80">
        <v>46112.0</v>
      </c>
      <c r="B484" s="65">
        <v>26.0</v>
      </c>
      <c r="C484" s="81" t="s">
        <v>143</v>
      </c>
      <c r="D484" s="79" t="s">
        <v>130</v>
      </c>
      <c r="E484" s="65">
        <v>0.0</v>
      </c>
      <c r="F484" s="65">
        <v>0.0</v>
      </c>
      <c r="G484" s="79" t="s">
        <v>131</v>
      </c>
      <c r="H484" s="79" t="s">
        <v>128</v>
      </c>
      <c r="I484" s="68"/>
      <c r="J484" s="68"/>
    </row>
    <row r="485" ht="14.25" customHeight="1">
      <c r="A485" s="80">
        <v>46112.0</v>
      </c>
      <c r="B485" s="65">
        <v>26.0</v>
      </c>
      <c r="C485" s="81" t="s">
        <v>51</v>
      </c>
      <c r="D485" s="79" t="s">
        <v>130</v>
      </c>
      <c r="E485" s="65">
        <v>0.0</v>
      </c>
      <c r="F485" s="65">
        <v>0.0</v>
      </c>
      <c r="G485" s="79" t="s">
        <v>131</v>
      </c>
      <c r="H485" s="68"/>
      <c r="I485" s="68"/>
      <c r="J485" s="68"/>
    </row>
    <row r="486" ht="14.25" customHeight="1">
      <c r="A486" s="80">
        <v>46112.0</v>
      </c>
      <c r="B486" s="65">
        <v>26.0</v>
      </c>
      <c r="C486" s="81" t="s">
        <v>29</v>
      </c>
      <c r="D486" s="79" t="s">
        <v>130</v>
      </c>
      <c r="E486" s="65">
        <v>0.0</v>
      </c>
      <c r="F486" s="65">
        <v>0.0</v>
      </c>
      <c r="G486" s="79" t="s">
        <v>131</v>
      </c>
      <c r="H486" s="68"/>
      <c r="I486" s="68"/>
      <c r="J486" s="68"/>
    </row>
    <row r="487" ht="14.25" customHeight="1">
      <c r="A487" s="80">
        <v>46112.0</v>
      </c>
      <c r="B487" s="65">
        <v>26.0</v>
      </c>
      <c r="C487" s="81" t="s">
        <v>30</v>
      </c>
      <c r="D487" s="79" t="s">
        <v>130</v>
      </c>
      <c r="E487" s="65">
        <v>0.0</v>
      </c>
      <c r="F487" s="65">
        <v>0.0</v>
      </c>
      <c r="G487" s="79" t="s">
        <v>131</v>
      </c>
      <c r="H487" s="68"/>
      <c r="I487" s="68"/>
      <c r="J487" s="68"/>
    </row>
    <row r="488" ht="14.25" customHeight="1">
      <c r="A488" s="80">
        <v>46112.0</v>
      </c>
      <c r="B488" s="65">
        <v>26.0</v>
      </c>
      <c r="C488" s="81" t="s">
        <v>140</v>
      </c>
      <c r="D488" s="79" t="s">
        <v>130</v>
      </c>
      <c r="E488" s="65">
        <v>0.0</v>
      </c>
      <c r="F488" s="65">
        <v>0.0</v>
      </c>
      <c r="G488" s="79" t="s">
        <v>131</v>
      </c>
      <c r="H488" s="68"/>
      <c r="I488" s="68"/>
      <c r="J488" s="68"/>
    </row>
    <row r="489" ht="14.25" customHeight="1">
      <c r="A489" s="80">
        <v>46112.0</v>
      </c>
      <c r="B489" s="65">
        <v>26.0</v>
      </c>
      <c r="C489" s="81" t="s">
        <v>28</v>
      </c>
      <c r="D489" s="79" t="s">
        <v>130</v>
      </c>
      <c r="E489" s="65">
        <v>0.0</v>
      </c>
      <c r="F489" s="65">
        <v>0.0</v>
      </c>
      <c r="G489" s="79" t="s">
        <v>131</v>
      </c>
      <c r="H489" s="68"/>
      <c r="I489" s="68"/>
      <c r="J489" s="68"/>
    </row>
    <row r="490" ht="14.25" customHeight="1">
      <c r="A490" s="80">
        <v>46112.0</v>
      </c>
      <c r="B490" s="65">
        <v>26.0</v>
      </c>
      <c r="C490" s="81" t="s">
        <v>133</v>
      </c>
      <c r="D490" s="79" t="s">
        <v>125</v>
      </c>
      <c r="E490" s="65">
        <v>0.0</v>
      </c>
      <c r="F490" s="65">
        <v>0.0</v>
      </c>
      <c r="G490" s="79" t="s">
        <v>126</v>
      </c>
      <c r="H490" s="68"/>
      <c r="I490" s="79">
        <v>1.0</v>
      </c>
      <c r="J490" s="65"/>
    </row>
    <row r="491" ht="14.25" customHeight="1">
      <c r="A491" s="80">
        <v>46112.0</v>
      </c>
      <c r="B491" s="65">
        <v>26.0</v>
      </c>
      <c r="C491" s="81" t="s">
        <v>18</v>
      </c>
      <c r="D491" s="79" t="s">
        <v>125</v>
      </c>
      <c r="E491" s="65">
        <v>1.0</v>
      </c>
      <c r="F491" s="65">
        <v>1.0</v>
      </c>
      <c r="G491" s="79" t="s">
        <v>126</v>
      </c>
      <c r="H491" s="68"/>
      <c r="I491" s="68"/>
      <c r="J491" s="68"/>
    </row>
    <row r="492" ht="14.25" customHeight="1">
      <c r="A492" s="80">
        <v>46112.0</v>
      </c>
      <c r="B492" s="65">
        <v>26.0</v>
      </c>
      <c r="C492" s="81" t="s">
        <v>16</v>
      </c>
      <c r="D492" s="79" t="s">
        <v>125</v>
      </c>
      <c r="E492" s="65">
        <v>4.0</v>
      </c>
      <c r="F492" s="65">
        <v>0.0</v>
      </c>
      <c r="G492" s="79" t="s">
        <v>126</v>
      </c>
      <c r="H492" s="68"/>
      <c r="I492" s="68"/>
      <c r="J492" s="68"/>
    </row>
    <row r="493" ht="14.25" customHeight="1">
      <c r="A493" s="80">
        <v>46112.0</v>
      </c>
      <c r="B493" s="65">
        <v>26.0</v>
      </c>
      <c r="C493" s="81" t="s">
        <v>17</v>
      </c>
      <c r="D493" s="79" t="s">
        <v>125</v>
      </c>
      <c r="E493" s="65">
        <v>1.0</v>
      </c>
      <c r="F493" s="65">
        <v>0.0</v>
      </c>
      <c r="G493" s="79" t="s">
        <v>126</v>
      </c>
      <c r="H493" s="68"/>
      <c r="I493" s="68"/>
      <c r="J493" s="68"/>
    </row>
    <row r="494" ht="14.25" customHeight="1">
      <c r="A494" s="80">
        <v>46112.0</v>
      </c>
      <c r="B494" s="65">
        <v>26.0</v>
      </c>
      <c r="C494" s="81" t="s">
        <v>45</v>
      </c>
      <c r="D494" s="79" t="s">
        <v>125</v>
      </c>
      <c r="E494" s="65">
        <v>1.0</v>
      </c>
      <c r="F494" s="65">
        <v>0.0</v>
      </c>
      <c r="G494" s="79" t="s">
        <v>126</v>
      </c>
      <c r="H494" s="68"/>
      <c r="I494" s="68"/>
      <c r="J494" s="68"/>
    </row>
    <row r="495" ht="14.25" customHeight="1">
      <c r="A495" s="80">
        <v>46112.0</v>
      </c>
      <c r="B495" s="65">
        <v>26.0</v>
      </c>
      <c r="C495" s="81" t="s">
        <v>39</v>
      </c>
      <c r="D495" s="79" t="s">
        <v>125</v>
      </c>
      <c r="E495" s="65">
        <v>0.0</v>
      </c>
      <c r="F495" s="65">
        <v>1.0</v>
      </c>
      <c r="G495" s="79" t="s">
        <v>126</v>
      </c>
      <c r="H495" s="68"/>
      <c r="I495" s="68"/>
      <c r="J495" s="68"/>
    </row>
    <row r="496" ht="14.25" customHeight="1">
      <c r="A496" s="80">
        <v>46112.0</v>
      </c>
      <c r="B496" s="65">
        <v>26.0</v>
      </c>
      <c r="C496" s="81" t="s">
        <v>25</v>
      </c>
      <c r="D496" s="79" t="s">
        <v>125</v>
      </c>
      <c r="E496" s="65">
        <v>0.0</v>
      </c>
      <c r="F496" s="65">
        <v>1.0</v>
      </c>
      <c r="G496" s="79" t="s">
        <v>126</v>
      </c>
      <c r="H496" s="68"/>
      <c r="I496" s="68"/>
      <c r="J496" s="68"/>
    </row>
    <row r="497" ht="14.25" customHeight="1">
      <c r="A497" s="80">
        <v>46112.0</v>
      </c>
      <c r="B497" s="65">
        <v>26.0</v>
      </c>
      <c r="C497" s="81" t="s">
        <v>26</v>
      </c>
      <c r="D497" s="79" t="s">
        <v>125</v>
      </c>
      <c r="E497" s="65">
        <v>0.0</v>
      </c>
      <c r="F497" s="65">
        <v>1.0</v>
      </c>
      <c r="G497" s="79" t="s">
        <v>126</v>
      </c>
      <c r="H497" s="68"/>
      <c r="I497" s="68"/>
      <c r="J497" s="68"/>
    </row>
    <row r="498" ht="14.25" customHeight="1">
      <c r="A498" s="80">
        <v>46112.0</v>
      </c>
      <c r="B498" s="65">
        <v>26.0</v>
      </c>
      <c r="C498" s="81" t="s">
        <v>50</v>
      </c>
      <c r="D498" s="79" t="s">
        <v>125</v>
      </c>
      <c r="E498" s="65">
        <v>0.0</v>
      </c>
      <c r="F498" s="65">
        <v>0.0</v>
      </c>
      <c r="G498" s="79" t="s">
        <v>126</v>
      </c>
      <c r="H498" s="79" t="s">
        <v>128</v>
      </c>
      <c r="I498" s="68"/>
      <c r="J498" s="68"/>
    </row>
    <row r="499" ht="14.25" customHeight="1">
      <c r="A499" s="80">
        <v>46112.0</v>
      </c>
      <c r="B499" s="65">
        <v>26.0</v>
      </c>
      <c r="C499" s="81" t="s">
        <v>24</v>
      </c>
      <c r="D499" s="79" t="s">
        <v>125</v>
      </c>
      <c r="E499" s="65">
        <v>0.0</v>
      </c>
      <c r="F499" s="65">
        <v>0.0</v>
      </c>
      <c r="G499" s="79" t="s">
        <v>126</v>
      </c>
      <c r="H499" s="68"/>
      <c r="I499" s="68"/>
      <c r="J499" s="68"/>
    </row>
    <row r="500" ht="14.25" customHeight="1">
      <c r="A500" s="80">
        <v>46112.0</v>
      </c>
      <c r="B500" s="65">
        <v>26.0</v>
      </c>
      <c r="C500" s="81" t="s">
        <v>31</v>
      </c>
      <c r="D500" s="79" t="s">
        <v>125</v>
      </c>
      <c r="E500" s="65">
        <v>0.0</v>
      </c>
      <c r="F500" s="65">
        <v>0.0</v>
      </c>
      <c r="G500" s="79" t="s">
        <v>126</v>
      </c>
      <c r="H500" s="68"/>
      <c r="I500" s="68"/>
      <c r="J500" s="68"/>
    </row>
    <row r="501" ht="14.25" customHeight="1">
      <c r="A501" s="80">
        <v>46119.0</v>
      </c>
      <c r="B501" s="65">
        <v>27.0</v>
      </c>
      <c r="C501" s="77" t="s">
        <v>53</v>
      </c>
      <c r="D501" s="79" t="s">
        <v>125</v>
      </c>
      <c r="E501" s="65">
        <v>0.0</v>
      </c>
      <c r="F501" s="65">
        <v>0.0</v>
      </c>
      <c r="G501" s="79" t="s">
        <v>126</v>
      </c>
      <c r="H501" s="68"/>
      <c r="I501" s="65">
        <v>6.0</v>
      </c>
    </row>
    <row r="502" ht="14.25" customHeight="1">
      <c r="A502" s="80">
        <v>46119.0</v>
      </c>
      <c r="B502" s="65">
        <v>27.0</v>
      </c>
      <c r="C502" s="77" t="s">
        <v>127</v>
      </c>
      <c r="D502" s="79" t="s">
        <v>125</v>
      </c>
      <c r="E502" s="65">
        <v>0.0</v>
      </c>
      <c r="F502" s="65">
        <v>0.0</v>
      </c>
      <c r="G502" s="79" t="s">
        <v>126</v>
      </c>
      <c r="H502" s="68"/>
      <c r="I502" s="68"/>
    </row>
    <row r="503" ht="14.25" customHeight="1">
      <c r="A503" s="80">
        <v>46119.0</v>
      </c>
      <c r="B503" s="65">
        <v>27.0</v>
      </c>
      <c r="C503" s="77" t="s">
        <v>26</v>
      </c>
      <c r="D503" s="79" t="s">
        <v>125</v>
      </c>
      <c r="E503" s="65">
        <v>0.0</v>
      </c>
      <c r="F503" s="65">
        <v>0.0</v>
      </c>
      <c r="G503" s="79" t="s">
        <v>126</v>
      </c>
      <c r="H503" s="68"/>
      <c r="I503" s="68"/>
    </row>
    <row r="504" ht="14.25" customHeight="1">
      <c r="A504" s="80">
        <v>46119.0</v>
      </c>
      <c r="B504" s="65">
        <v>27.0</v>
      </c>
      <c r="C504" s="77" t="s">
        <v>49</v>
      </c>
      <c r="D504" s="79" t="s">
        <v>125</v>
      </c>
      <c r="E504" s="65">
        <v>0.0</v>
      </c>
      <c r="F504" s="65">
        <v>1.0</v>
      </c>
      <c r="G504" s="79" t="s">
        <v>126</v>
      </c>
      <c r="H504" s="68"/>
      <c r="I504" s="68"/>
    </row>
    <row r="505" ht="14.25" customHeight="1">
      <c r="A505" s="80">
        <v>46119.0</v>
      </c>
      <c r="B505" s="65">
        <v>27.0</v>
      </c>
      <c r="C505" s="77" t="s">
        <v>21</v>
      </c>
      <c r="D505" s="79" t="s">
        <v>125</v>
      </c>
      <c r="E505" s="65">
        <v>0.0</v>
      </c>
      <c r="F505" s="65">
        <v>2.0</v>
      </c>
      <c r="G505" s="79" t="s">
        <v>126</v>
      </c>
      <c r="H505" s="68"/>
      <c r="I505" s="68"/>
    </row>
    <row r="506" ht="14.25" customHeight="1">
      <c r="A506" s="80">
        <v>46119.0</v>
      </c>
      <c r="B506" s="65">
        <v>27.0</v>
      </c>
      <c r="C506" s="77" t="s">
        <v>34</v>
      </c>
      <c r="D506" s="79" t="s">
        <v>125</v>
      </c>
      <c r="E506" s="65">
        <v>1.0</v>
      </c>
      <c r="F506" s="65">
        <v>0.0</v>
      </c>
      <c r="G506" s="79" t="s">
        <v>126</v>
      </c>
      <c r="H506" s="68"/>
      <c r="I506" s="68"/>
    </row>
    <row r="507" ht="14.25" customHeight="1">
      <c r="A507" s="80">
        <v>46119.0</v>
      </c>
      <c r="B507" s="65">
        <v>27.0</v>
      </c>
      <c r="C507" s="77" t="s">
        <v>35</v>
      </c>
      <c r="D507" s="79" t="s">
        <v>125</v>
      </c>
      <c r="E507" s="65">
        <v>0.0</v>
      </c>
      <c r="F507" s="65">
        <v>1.0</v>
      </c>
      <c r="G507" s="79" t="s">
        <v>126</v>
      </c>
      <c r="H507" s="68"/>
      <c r="I507" s="68"/>
    </row>
    <row r="508" ht="14.25" customHeight="1">
      <c r="A508" s="80">
        <v>46119.0</v>
      </c>
      <c r="B508" s="65">
        <v>27.0</v>
      </c>
      <c r="C508" s="77" t="s">
        <v>25</v>
      </c>
      <c r="D508" s="79" t="s">
        <v>125</v>
      </c>
      <c r="E508" s="65">
        <v>1.0</v>
      </c>
      <c r="F508" s="65">
        <v>1.0</v>
      </c>
      <c r="G508" s="79" t="s">
        <v>126</v>
      </c>
      <c r="H508" s="68"/>
      <c r="I508" s="68"/>
    </row>
    <row r="509" ht="14.25" customHeight="1">
      <c r="A509" s="80">
        <v>46119.0</v>
      </c>
      <c r="B509" s="65">
        <v>27.0</v>
      </c>
      <c r="C509" s="77" t="s">
        <v>140</v>
      </c>
      <c r="D509" s="79" t="s">
        <v>125</v>
      </c>
      <c r="E509" s="65">
        <v>4.0</v>
      </c>
      <c r="F509" s="65">
        <v>1.0</v>
      </c>
      <c r="G509" s="79" t="s">
        <v>126</v>
      </c>
      <c r="H509" s="79" t="s">
        <v>128</v>
      </c>
      <c r="I509" s="68"/>
    </row>
    <row r="510" ht="14.25" customHeight="1">
      <c r="A510" s="80">
        <v>46119.0</v>
      </c>
      <c r="B510" s="65">
        <v>27.0</v>
      </c>
      <c r="C510" s="77" t="s">
        <v>24</v>
      </c>
      <c r="D510" s="79" t="s">
        <v>125</v>
      </c>
      <c r="E510" s="65">
        <v>0.0</v>
      </c>
      <c r="F510" s="65">
        <v>0.0</v>
      </c>
      <c r="G510" s="79" t="s">
        <v>126</v>
      </c>
      <c r="H510" s="68"/>
      <c r="I510" s="68"/>
    </row>
    <row r="511" ht="14.25" customHeight="1">
      <c r="A511" s="80">
        <v>46119.0</v>
      </c>
      <c r="B511" s="65">
        <v>27.0</v>
      </c>
      <c r="C511" s="77" t="s">
        <v>46</v>
      </c>
      <c r="D511" s="79" t="s">
        <v>130</v>
      </c>
      <c r="E511" s="65">
        <v>0.0</v>
      </c>
      <c r="F511" s="65">
        <v>0.0</v>
      </c>
      <c r="G511" s="79" t="s">
        <v>131</v>
      </c>
      <c r="H511" s="68"/>
      <c r="I511" s="65">
        <v>2.0</v>
      </c>
    </row>
    <row r="512" ht="14.25" customHeight="1">
      <c r="A512" s="80">
        <v>46119.0</v>
      </c>
      <c r="B512" s="65">
        <v>27.0</v>
      </c>
      <c r="C512" s="77" t="s">
        <v>50</v>
      </c>
      <c r="D512" s="79" t="s">
        <v>130</v>
      </c>
      <c r="E512" s="65">
        <v>0.0</v>
      </c>
      <c r="F512" s="65">
        <v>0.0</v>
      </c>
      <c r="G512" s="79" t="s">
        <v>131</v>
      </c>
      <c r="H512" s="68"/>
      <c r="I512" s="68"/>
    </row>
    <row r="513" ht="14.25" customHeight="1">
      <c r="A513" s="80">
        <v>46119.0</v>
      </c>
      <c r="B513" s="65">
        <v>27.0</v>
      </c>
      <c r="C513" s="77" t="s">
        <v>143</v>
      </c>
      <c r="D513" s="79" t="s">
        <v>130</v>
      </c>
      <c r="E513" s="65">
        <v>0.0</v>
      </c>
      <c r="F513" s="65">
        <v>0.0</v>
      </c>
      <c r="G513" s="79" t="s">
        <v>131</v>
      </c>
      <c r="H513" s="68"/>
      <c r="I513" s="68"/>
    </row>
    <row r="514" ht="14.25" customHeight="1">
      <c r="A514" s="80">
        <v>46119.0</v>
      </c>
      <c r="B514" s="65">
        <v>27.0</v>
      </c>
      <c r="C514" s="77" t="s">
        <v>62</v>
      </c>
      <c r="D514" s="79" t="s">
        <v>130</v>
      </c>
      <c r="E514" s="65">
        <v>0.0</v>
      </c>
      <c r="F514" s="65">
        <v>0.0</v>
      </c>
      <c r="G514" s="79" t="s">
        <v>131</v>
      </c>
      <c r="H514" s="68"/>
      <c r="I514" s="68"/>
    </row>
    <row r="515" ht="14.25" customHeight="1">
      <c r="A515" s="80">
        <v>46119.0</v>
      </c>
      <c r="B515" s="65">
        <v>27.0</v>
      </c>
      <c r="C515" s="77" t="s">
        <v>17</v>
      </c>
      <c r="D515" s="79" t="s">
        <v>130</v>
      </c>
      <c r="E515" s="65">
        <v>1.0</v>
      </c>
      <c r="F515" s="65">
        <v>0.0</v>
      </c>
      <c r="G515" s="79" t="s">
        <v>131</v>
      </c>
      <c r="H515" s="68"/>
      <c r="I515" s="68"/>
    </row>
    <row r="516" ht="14.25" customHeight="1">
      <c r="A516" s="80">
        <v>46119.0</v>
      </c>
      <c r="B516" s="65">
        <v>27.0</v>
      </c>
      <c r="C516" s="77" t="s">
        <v>29</v>
      </c>
      <c r="D516" s="79" t="s">
        <v>130</v>
      </c>
      <c r="E516" s="65">
        <v>0.0</v>
      </c>
      <c r="F516" s="65">
        <v>0.0</v>
      </c>
      <c r="G516" s="79" t="s">
        <v>131</v>
      </c>
      <c r="H516" s="68"/>
      <c r="I516" s="68"/>
    </row>
    <row r="517" ht="14.25" customHeight="1">
      <c r="A517" s="80">
        <v>46119.0</v>
      </c>
      <c r="B517" s="65">
        <v>27.0</v>
      </c>
      <c r="C517" s="77" t="s">
        <v>16</v>
      </c>
      <c r="D517" s="79" t="s">
        <v>130</v>
      </c>
      <c r="E517" s="65">
        <v>0.0</v>
      </c>
      <c r="F517" s="65">
        <v>0.0</v>
      </c>
      <c r="G517" s="79" t="s">
        <v>131</v>
      </c>
      <c r="H517" s="79" t="s">
        <v>128</v>
      </c>
      <c r="I517" s="68"/>
    </row>
    <row r="518" ht="14.25" customHeight="1">
      <c r="A518" s="80">
        <v>46119.0</v>
      </c>
      <c r="B518" s="65">
        <v>27.0</v>
      </c>
      <c r="C518" s="77" t="s">
        <v>28</v>
      </c>
      <c r="D518" s="79" t="s">
        <v>130</v>
      </c>
      <c r="E518" s="65">
        <v>0.0</v>
      </c>
      <c r="F518" s="65">
        <v>0.0</v>
      </c>
      <c r="G518" s="79" t="s">
        <v>131</v>
      </c>
      <c r="H518" s="68"/>
      <c r="I518" s="68"/>
    </row>
    <row r="519" ht="14.25" customHeight="1">
      <c r="A519" s="80">
        <v>46119.0</v>
      </c>
      <c r="B519" s="65">
        <v>27.0</v>
      </c>
      <c r="C519" s="77" t="s">
        <v>18</v>
      </c>
      <c r="D519" s="79" t="s">
        <v>130</v>
      </c>
      <c r="E519" s="65">
        <v>0.0</v>
      </c>
      <c r="F519" s="65">
        <v>1.0</v>
      </c>
      <c r="G519" s="79" t="s">
        <v>131</v>
      </c>
      <c r="H519" s="68"/>
      <c r="I519" s="68"/>
    </row>
    <row r="520" ht="14.25" customHeight="1">
      <c r="A520" s="80">
        <v>46119.0</v>
      </c>
      <c r="B520" s="65">
        <v>27.0</v>
      </c>
      <c r="C520" s="77" t="s">
        <v>30</v>
      </c>
      <c r="D520" s="79" t="s">
        <v>130</v>
      </c>
      <c r="E520" s="65">
        <v>1.0</v>
      </c>
      <c r="F520" s="65">
        <v>0.0</v>
      </c>
      <c r="G520" s="79" t="s">
        <v>131</v>
      </c>
      <c r="H520" s="68"/>
      <c r="I520" s="68"/>
    </row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1:$Z$520">
    <sortState ref="A1:Z520">
      <sortCondition ref="D1:D520"/>
      <sortCondition ref="G1:G520"/>
    </sortState>
  </autoFilter>
  <printOptions/>
  <pageMargins bottom="1.0" footer="0.0" header="0.0" left="0.75" right="0.75" top="1.0"/>
  <pageSetup orientation="portrait"/>
  <drawing r:id="rId1"/>
</worksheet>
</file>